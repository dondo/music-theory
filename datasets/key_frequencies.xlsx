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y Rank" sheetId="1" state="visible" r:id="rId3"/>
    <sheet name="By Key" sheetId="2" state="visible" r:id="rId4"/>
    <sheet name="Notes" sheetId="3" state="visible" r:id="rId5"/>
  </sheets>
  <definedNames>
    <definedName function="false" hidden="true" localSheetId="1" name="_xlnm._FilterDatabase" vbProcedure="false">'By Key'!$A$1:$E$25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<sst xmlns="http://schemas.openxmlformats.org/spreadsheetml/2006/main" count="148" uniqueCount="50">
  <si>
    <t xml:space="preserve">Rank</t>
  </si>
  <si>
    <t xml:space="preserve">Pop key</t>
  </si>
  <si>
    <t xml:space="preserve">Pop %</t>
  </si>
  <si>
    <t xml:space="preserve">Jazz key</t>
  </si>
  <si>
    <t xml:space="preserve">Jazz %</t>
  </si>
  <si>
    <t xml:space="preserve">Classical key</t>
  </si>
  <si>
    <t xml:space="preserve">Classical %</t>
  </si>
  <si>
    <t xml:space="preserve">C major</t>
  </si>
  <si>
    <t xml:space="preserve">B♭ major</t>
  </si>
  <si>
    <t xml:space="preserve">G major</t>
  </si>
  <si>
    <t xml:space="preserve">F major</t>
  </si>
  <si>
    <t xml:space="preserve">D major</t>
  </si>
  <si>
    <t xml:space="preserve">A major</t>
  </si>
  <si>
    <t xml:space="preserve">E♭ major</t>
  </si>
  <si>
    <t xml:space="preserve">E major</t>
  </si>
  <si>
    <t xml:space="preserve">A♭ major</t>
  </si>
  <si>
    <t xml:space="preserve">D♭ major</t>
  </si>
  <si>
    <t xml:space="preserve">G minor</t>
  </si>
  <si>
    <t xml:space="preserve">D minor</t>
  </si>
  <si>
    <t xml:space="preserve">A minor</t>
  </si>
  <si>
    <t xml:space="preserve">E minor</t>
  </si>
  <si>
    <t xml:space="preserve">C minor</t>
  </si>
  <si>
    <t xml:space="preserve">F minor</t>
  </si>
  <si>
    <t xml:space="preserve">B minor</t>
  </si>
  <si>
    <t xml:space="preserve">B major</t>
  </si>
  <si>
    <t xml:space="preserve">F♯ minor</t>
  </si>
  <si>
    <t xml:space="preserve">C♯ minor</t>
  </si>
  <si>
    <t xml:space="preserve">B♭ minor</t>
  </si>
  <si>
    <t xml:space="preserve">F♯ major</t>
  </si>
  <si>
    <t xml:space="preserve">E♭ minor</t>
  </si>
  <si>
    <t xml:space="preserve">G♯ minor</t>
  </si>
  <si>
    <t xml:space="preserve">Total</t>
  </si>
  <si>
    <t xml:space="preserve">Blue percentages are rough estimates (not measurements) and can be edited; the 'By Key' sheet and totals update from them.</t>
  </si>
  <si>
    <t xml:space="preserve">Key</t>
  </si>
  <si>
    <t xml:space="preserve">Mode</t>
  </si>
  <si>
    <t xml:space="preserve">Major</t>
  </si>
  <si>
    <t xml:space="preserve">Minor</t>
  </si>
  <si>
    <t xml:space="preserve">Major total</t>
  </si>
  <si>
    <t xml:space="preserve">Minor total</t>
  </si>
  <si>
    <t xml:space="preserve">About these figures</t>
  </si>
  <si>
    <t xml:space="preserve">All percentages are rough estimates, and the lower half of each column is the least reliable.</t>
  </si>
  <si>
    <t xml:space="preserve">Enharmonic keys appear under one name each (D♭ major = C♯ major; C♯ minor = D♭ minor; and so on).</t>
  </si>
  <si>
    <t xml:space="preserve">Sourced data points (everything else is an estimate)</t>
  </si>
  <si>
    <t xml:space="preserve">Pop: C major 9.3% and G major 8.3% of songs on Spotify (whole catalog, not only pop). An older Spotify analysis ranked G major first.</t>
  </si>
  <si>
    <t xml:space="preserve">Jazz: Charlie Parker's recordings put C and B♭ at about 23% each (single player; the table scales this to the wider standards repertoire).</t>
  </si>
  <si>
    <t xml:space="preserve">Classical: no source found; figures reflect general sense of the repertoire and vary by composer and era.</t>
  </si>
  <si>
    <t xml:space="preserve">Sources</t>
  </si>
  <si>
    <t xml:space="preserve">https://newindustryfocus.com/articles/what-we-learned-from-anna-s-archive-s-spotify-scrape</t>
  </si>
  <si>
    <t xml:space="preserve">https://www.hypebot.com/the-most-popular-keys-of-all-music-on-spotify/</t>
  </si>
  <si>
    <t xml:space="preserve">https://www.jazzguitar.be/forum/theory/100762-most-common-keys-jazz-standards.html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</si>
</sst>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3" t="s">
        <v>7</v>
      </c>
      <c r="C2" s="4" t="n">
        <v>0.09</v>
      </c>
      <c r="D2" s="3" t="s">
        <v>8</v>
      </c>
      <c r="E2" s="4" t="n">
        <v>0.14</v>
      </c>
      <c r="F2" s="3" t="s">
        <v>7</v>
      </c>
      <c r="G2" s="4" t="n">
        <v>0.095</v>
      </c>
    </row>
    <row r="3" customFormat="false" ht="15" hidden="false" customHeight="false" outlineLevel="0" collapsed="false">
      <c r="A3" s="2" t="n">
        <v>2</v>
      </c>
      <c r="B3" s="3" t="s">
        <v>9</v>
      </c>
      <c r="C3" s="4" t="n">
        <v>0.08</v>
      </c>
      <c r="D3" s="3" t="s">
        <v>10</v>
      </c>
      <c r="E3" s="4" t="n">
        <v>0.12</v>
      </c>
      <c r="F3" s="3" t="s">
        <v>11</v>
      </c>
      <c r="G3" s="4" t="n">
        <v>0.095</v>
      </c>
    </row>
    <row r="4" customFormat="false" ht="15" hidden="false" customHeight="false" outlineLevel="0" collapsed="false">
      <c r="A4" s="2" t="n">
        <v>3</v>
      </c>
      <c r="B4" s="3" t="s">
        <v>11</v>
      </c>
      <c r="C4" s="4" t="n">
        <v>0.075</v>
      </c>
      <c r="D4" s="3" t="s">
        <v>7</v>
      </c>
      <c r="E4" s="4" t="n">
        <v>0.11</v>
      </c>
      <c r="F4" s="3" t="s">
        <v>9</v>
      </c>
      <c r="G4" s="4" t="n">
        <v>0.085</v>
      </c>
    </row>
    <row r="5" customFormat="false" ht="15" hidden="false" customHeight="false" outlineLevel="0" collapsed="false">
      <c r="A5" s="2" t="n">
        <v>4</v>
      </c>
      <c r="B5" s="3" t="s">
        <v>12</v>
      </c>
      <c r="C5" s="4" t="n">
        <v>0.065</v>
      </c>
      <c r="D5" s="3" t="s">
        <v>13</v>
      </c>
      <c r="E5" s="4" t="n">
        <v>0.1</v>
      </c>
      <c r="F5" s="3" t="s">
        <v>10</v>
      </c>
      <c r="G5" s="4" t="n">
        <v>0.06</v>
      </c>
    </row>
    <row r="6" customFormat="false" ht="15" hidden="false" customHeight="false" outlineLevel="0" collapsed="false">
      <c r="A6" s="2" t="n">
        <v>5</v>
      </c>
      <c r="B6" s="3" t="s">
        <v>14</v>
      </c>
      <c r="C6" s="4" t="n">
        <v>0.055</v>
      </c>
      <c r="D6" s="3" t="s">
        <v>9</v>
      </c>
      <c r="E6" s="4" t="n">
        <v>0.06</v>
      </c>
      <c r="F6" s="3" t="s">
        <v>8</v>
      </c>
      <c r="G6" s="4" t="n">
        <v>0.06</v>
      </c>
    </row>
    <row r="7" customFormat="false" ht="15" hidden="false" customHeight="false" outlineLevel="0" collapsed="false">
      <c r="A7" s="2" t="n">
        <v>6</v>
      </c>
      <c r="B7" s="3" t="s">
        <v>10</v>
      </c>
      <c r="C7" s="4" t="n">
        <v>0.055</v>
      </c>
      <c r="D7" s="3" t="s">
        <v>15</v>
      </c>
      <c r="E7" s="4" t="n">
        <v>0.06</v>
      </c>
      <c r="F7" s="3" t="s">
        <v>13</v>
      </c>
      <c r="G7" s="4" t="n">
        <v>0.06</v>
      </c>
    </row>
    <row r="8" customFormat="false" ht="15" hidden="false" customHeight="false" outlineLevel="0" collapsed="false">
      <c r="A8" s="2" t="n">
        <v>7</v>
      </c>
      <c r="B8" s="3" t="s">
        <v>16</v>
      </c>
      <c r="C8" s="4" t="n">
        <v>0.045</v>
      </c>
      <c r="D8" s="3" t="s">
        <v>17</v>
      </c>
      <c r="E8" s="4" t="n">
        <v>0.05</v>
      </c>
      <c r="F8" s="3" t="s">
        <v>12</v>
      </c>
      <c r="G8" s="4" t="n">
        <v>0.05</v>
      </c>
    </row>
    <row r="9" customFormat="false" ht="15" hidden="false" customHeight="false" outlineLevel="0" collapsed="false">
      <c r="A9" s="2" t="n">
        <v>8</v>
      </c>
      <c r="B9" s="3" t="s">
        <v>8</v>
      </c>
      <c r="C9" s="4" t="n">
        <v>0.045</v>
      </c>
      <c r="D9" s="3" t="s">
        <v>18</v>
      </c>
      <c r="E9" s="4" t="n">
        <v>0.05</v>
      </c>
      <c r="F9" s="3" t="s">
        <v>19</v>
      </c>
      <c r="G9" s="4" t="n">
        <v>0.05</v>
      </c>
    </row>
    <row r="10" customFormat="false" ht="15" hidden="false" customHeight="false" outlineLevel="0" collapsed="false">
      <c r="A10" s="2" t="n">
        <v>9</v>
      </c>
      <c r="B10" s="3" t="s">
        <v>19</v>
      </c>
      <c r="C10" s="4" t="n">
        <v>0.045</v>
      </c>
      <c r="D10" s="3" t="s">
        <v>11</v>
      </c>
      <c r="E10" s="4" t="n">
        <v>0.04</v>
      </c>
      <c r="F10" s="3" t="s">
        <v>18</v>
      </c>
      <c r="G10" s="4" t="n">
        <v>0.05</v>
      </c>
    </row>
    <row r="11" customFormat="false" ht="15" hidden="false" customHeight="false" outlineLevel="0" collapsed="false">
      <c r="A11" s="2" t="n">
        <v>10</v>
      </c>
      <c r="B11" s="3" t="s">
        <v>20</v>
      </c>
      <c r="C11" s="4" t="n">
        <v>0.045</v>
      </c>
      <c r="D11" s="3" t="s">
        <v>21</v>
      </c>
      <c r="E11" s="4" t="n">
        <v>0.04</v>
      </c>
      <c r="F11" s="3" t="s">
        <v>21</v>
      </c>
      <c r="G11" s="4" t="n">
        <v>0.045</v>
      </c>
    </row>
    <row r="12" customFormat="false" ht="15" hidden="false" customHeight="false" outlineLevel="0" collapsed="false">
      <c r="A12" s="2" t="n">
        <v>11</v>
      </c>
      <c r="B12" s="3" t="s">
        <v>15</v>
      </c>
      <c r="C12" s="4" t="n">
        <v>0.04</v>
      </c>
      <c r="D12" s="3" t="s">
        <v>16</v>
      </c>
      <c r="E12" s="4" t="n">
        <v>0.03</v>
      </c>
      <c r="F12" s="3" t="s">
        <v>17</v>
      </c>
      <c r="G12" s="4" t="n">
        <v>0.045</v>
      </c>
    </row>
    <row r="13" customFormat="false" ht="15" hidden="false" customHeight="false" outlineLevel="0" collapsed="false">
      <c r="A13" s="2" t="n">
        <v>12</v>
      </c>
      <c r="B13" s="3" t="s">
        <v>13</v>
      </c>
      <c r="C13" s="4" t="n">
        <v>0.04</v>
      </c>
      <c r="D13" s="3" t="s">
        <v>22</v>
      </c>
      <c r="E13" s="4" t="n">
        <v>0.03</v>
      </c>
      <c r="F13" s="3" t="s">
        <v>15</v>
      </c>
      <c r="G13" s="4" t="n">
        <v>0.04</v>
      </c>
    </row>
    <row r="14" customFormat="false" ht="15" hidden="false" customHeight="false" outlineLevel="0" collapsed="false">
      <c r="A14" s="2" t="n">
        <v>13</v>
      </c>
      <c r="B14" s="3" t="s">
        <v>23</v>
      </c>
      <c r="C14" s="4" t="n">
        <v>0.04</v>
      </c>
      <c r="D14" s="3" t="s">
        <v>19</v>
      </c>
      <c r="E14" s="4" t="n">
        <v>0.03</v>
      </c>
      <c r="F14" s="3" t="s">
        <v>14</v>
      </c>
      <c r="G14" s="4" t="n">
        <v>0.035</v>
      </c>
    </row>
    <row r="15" customFormat="false" ht="15" hidden="false" customHeight="false" outlineLevel="0" collapsed="false">
      <c r="A15" s="2" t="n">
        <v>14</v>
      </c>
      <c r="B15" s="3" t="s">
        <v>24</v>
      </c>
      <c r="C15" s="4" t="n">
        <v>0.035</v>
      </c>
      <c r="D15" s="3" t="s">
        <v>12</v>
      </c>
      <c r="E15" s="4" t="n">
        <v>0.025</v>
      </c>
      <c r="F15" s="3" t="s">
        <v>20</v>
      </c>
      <c r="G15" s="4" t="n">
        <v>0.035</v>
      </c>
    </row>
    <row r="16" customFormat="false" ht="15" hidden="false" customHeight="false" outlineLevel="0" collapsed="false">
      <c r="A16" s="2" t="n">
        <v>15</v>
      </c>
      <c r="B16" s="3" t="s">
        <v>18</v>
      </c>
      <c r="C16" s="4" t="n">
        <v>0.035</v>
      </c>
      <c r="D16" s="3" t="s">
        <v>20</v>
      </c>
      <c r="E16" s="4" t="n">
        <v>0.02</v>
      </c>
      <c r="F16" s="3" t="s">
        <v>22</v>
      </c>
      <c r="G16" s="4" t="n">
        <v>0.03</v>
      </c>
    </row>
    <row r="17" customFormat="false" ht="15" hidden="false" customHeight="false" outlineLevel="0" collapsed="false">
      <c r="A17" s="2" t="n">
        <v>16</v>
      </c>
      <c r="B17" s="3" t="s">
        <v>25</v>
      </c>
      <c r="C17" s="4" t="n">
        <v>0.03</v>
      </c>
      <c r="D17" s="3" t="s">
        <v>14</v>
      </c>
      <c r="E17" s="4" t="n">
        <v>0.015</v>
      </c>
      <c r="F17" s="3" t="s">
        <v>23</v>
      </c>
      <c r="G17" s="4" t="n">
        <v>0.03</v>
      </c>
    </row>
    <row r="18" customFormat="false" ht="15" hidden="false" customHeight="false" outlineLevel="0" collapsed="false">
      <c r="A18" s="2" t="n">
        <v>17</v>
      </c>
      <c r="B18" s="3" t="s">
        <v>26</v>
      </c>
      <c r="C18" s="4" t="n">
        <v>0.03</v>
      </c>
      <c r="D18" s="3" t="s">
        <v>27</v>
      </c>
      <c r="E18" s="4" t="n">
        <v>0.015</v>
      </c>
      <c r="F18" s="3" t="s">
        <v>25</v>
      </c>
      <c r="G18" s="4" t="n">
        <v>0.025</v>
      </c>
    </row>
    <row r="19" customFormat="false" ht="15" hidden="false" customHeight="false" outlineLevel="0" collapsed="false">
      <c r="A19" s="2" t="n">
        <v>18</v>
      </c>
      <c r="B19" s="3" t="s">
        <v>28</v>
      </c>
      <c r="C19" s="4" t="n">
        <v>0.025</v>
      </c>
      <c r="D19" s="3" t="s">
        <v>23</v>
      </c>
      <c r="E19" s="4" t="n">
        <v>0.015</v>
      </c>
      <c r="F19" s="3" t="s">
        <v>16</v>
      </c>
      <c r="G19" s="4" t="n">
        <v>0.02</v>
      </c>
    </row>
    <row r="20" customFormat="false" ht="15" hidden="false" customHeight="false" outlineLevel="0" collapsed="false">
      <c r="A20" s="2" t="n">
        <v>19</v>
      </c>
      <c r="B20" s="3" t="s">
        <v>17</v>
      </c>
      <c r="C20" s="4" t="n">
        <v>0.025</v>
      </c>
      <c r="D20" s="3" t="s">
        <v>24</v>
      </c>
      <c r="E20" s="4" t="n">
        <v>0.01</v>
      </c>
      <c r="F20" s="3" t="s">
        <v>26</v>
      </c>
      <c r="G20" s="4" t="n">
        <v>0.02</v>
      </c>
    </row>
    <row r="21" customFormat="false" ht="15" hidden="false" customHeight="false" outlineLevel="0" collapsed="false">
      <c r="A21" s="2" t="n">
        <v>20</v>
      </c>
      <c r="B21" s="3" t="s">
        <v>21</v>
      </c>
      <c r="C21" s="4" t="n">
        <v>0.025</v>
      </c>
      <c r="D21" s="3" t="s">
        <v>29</v>
      </c>
      <c r="E21" s="4" t="n">
        <v>0.01</v>
      </c>
      <c r="F21" s="3" t="s">
        <v>27</v>
      </c>
      <c r="G21" s="4" t="n">
        <v>0.015</v>
      </c>
    </row>
    <row r="22" customFormat="false" ht="15" hidden="false" customHeight="false" outlineLevel="0" collapsed="false">
      <c r="A22" s="2" t="n">
        <v>21</v>
      </c>
      <c r="B22" s="3" t="s">
        <v>22</v>
      </c>
      <c r="C22" s="4" t="n">
        <v>0.02</v>
      </c>
      <c r="D22" s="3" t="s">
        <v>25</v>
      </c>
      <c r="E22" s="4" t="n">
        <v>0.01</v>
      </c>
      <c r="F22" s="3" t="s">
        <v>30</v>
      </c>
      <c r="G22" s="4" t="n">
        <v>0.015</v>
      </c>
    </row>
    <row r="23" customFormat="false" ht="15" hidden="false" customHeight="false" outlineLevel="0" collapsed="false">
      <c r="A23" s="2" t="n">
        <v>22</v>
      </c>
      <c r="B23" s="3" t="s">
        <v>30</v>
      </c>
      <c r="C23" s="4" t="n">
        <v>0.02</v>
      </c>
      <c r="D23" s="3" t="s">
        <v>28</v>
      </c>
      <c r="E23" s="4" t="n">
        <v>0.005</v>
      </c>
      <c r="F23" s="3" t="s">
        <v>29</v>
      </c>
      <c r="G23" s="4" t="n">
        <v>0.015</v>
      </c>
    </row>
    <row r="24" customFormat="false" ht="15" hidden="false" customHeight="false" outlineLevel="0" collapsed="false">
      <c r="A24" s="2" t="n">
        <v>23</v>
      </c>
      <c r="B24" s="3" t="s">
        <v>27</v>
      </c>
      <c r="C24" s="4" t="n">
        <v>0.01</v>
      </c>
      <c r="D24" s="3" t="s">
        <v>26</v>
      </c>
      <c r="E24" s="4" t="n">
        <v>0.005</v>
      </c>
      <c r="F24" s="3" t="s">
        <v>24</v>
      </c>
      <c r="G24" s="4" t="n">
        <v>0.015</v>
      </c>
    </row>
    <row r="25" customFormat="false" ht="15" hidden="false" customHeight="false" outlineLevel="0" collapsed="false">
      <c r="A25" s="2" t="n">
        <v>24</v>
      </c>
      <c r="B25" s="3" t="s">
        <v>29</v>
      </c>
      <c r="C25" s="4" t="n">
        <v>0.01</v>
      </c>
      <c r="D25" s="3" t="s">
        <v>30</v>
      </c>
      <c r="E25" s="4" t="n">
        <v>0.005</v>
      </c>
      <c r="F25" s="3" t="s">
        <v>28</v>
      </c>
      <c r="G25" s="4" t="n">
        <v>0.01</v>
      </c>
    </row>
    <row r="26" customFormat="false" ht="15" hidden="false" customHeight="false" outlineLevel="0" collapsed="false">
      <c r="A26" s="5" t="s">
        <v>31</v>
      </c>
      <c r="B26" s="6"/>
      <c r="C26" s="7" t="n">
        <f aca="false">SUM(C2:C25)</f>
        <v>0.985</v>
      </c>
      <c r="D26" s="6"/>
      <c r="E26" s="7" t="n">
        <f aca="false">SUM(E2:E25)</f>
        <v>0.995</v>
      </c>
      <c r="F26" s="6"/>
      <c r="G26" s="7" t="n">
        <f aca="false">SUM(G2:G25)</f>
        <v>1</v>
      </c>
    </row>
    <row r="28" customFormat="false" ht="15" hidden="false" customHeight="false" outlineLevel="0" collapsed="false">
      <c r="A28" s="8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9"/>
    <col collapsed="false" customWidth="true" hidden="false" outlineLevel="0" max="5" min="5" style="0" width="12"/>
  </cols>
  <sheetData>
    <row r="1" customFormat="false" ht="15" hidden="false" customHeight="false" outlineLevel="0" collapsed="false">
      <c r="A1" s="1" t="s">
        <v>33</v>
      </c>
      <c r="B1" s="1" t="s">
        <v>34</v>
      </c>
      <c r="C1" s="1" t="s">
        <v>2</v>
      </c>
      <c r="D1" s="1" t="s">
        <v>4</v>
      </c>
      <c r="E1" s="1" t="s">
        <v>6</v>
      </c>
    </row>
    <row r="2" customFormat="false" ht="15" hidden="false" customHeight="false" outlineLevel="0" collapsed="false">
      <c r="A2" s="3" t="s">
        <v>7</v>
      </c>
      <c r="B2" s="3" t="s">
        <v>35</v>
      </c>
      <c r="C2" s="9" t="n">
        <f aca="false">IFERROR(INDEX('By Rank'!$C$2:$C$25,MATCH($A2,'By Rank'!$B$2:$B$25,0)),0)</f>
        <v>0.09</v>
      </c>
      <c r="D2" s="9" t="n">
        <f aca="false">IFERROR(INDEX('By Rank'!$E$2:$E$25,MATCH($A2,'By Rank'!$D$2:$D$25,0)),0)</f>
        <v>0.11</v>
      </c>
      <c r="E2" s="9" t="n">
        <f aca="false">IFERROR(INDEX('By Rank'!$G$2:$G$25,MATCH($A2,'By Rank'!$F$2:$F$25,0)),0)</f>
        <v>0.095</v>
      </c>
    </row>
    <row r="3" customFormat="false" ht="15" hidden="false" customHeight="false" outlineLevel="0" collapsed="false">
      <c r="A3" s="3" t="s">
        <v>16</v>
      </c>
      <c r="B3" s="3" t="s">
        <v>35</v>
      </c>
      <c r="C3" s="9" t="n">
        <f aca="false">IFERROR(INDEX('By Rank'!$C$2:$C$25,MATCH($A3,'By Rank'!$B$2:$B$25,0)),0)</f>
        <v>0.045</v>
      </c>
      <c r="D3" s="9" t="n">
        <f aca="false">IFERROR(INDEX('By Rank'!$E$2:$E$25,MATCH($A3,'By Rank'!$D$2:$D$25,0)),0)</f>
        <v>0.03</v>
      </c>
      <c r="E3" s="9" t="n">
        <f aca="false">IFERROR(INDEX('By Rank'!$G$2:$G$25,MATCH($A3,'By Rank'!$F$2:$F$25,0)),0)</f>
        <v>0.02</v>
      </c>
    </row>
    <row r="4" customFormat="false" ht="15" hidden="false" customHeight="false" outlineLevel="0" collapsed="false">
      <c r="A4" s="3" t="s">
        <v>11</v>
      </c>
      <c r="B4" s="3" t="s">
        <v>35</v>
      </c>
      <c r="C4" s="9" t="n">
        <f aca="false">IFERROR(INDEX('By Rank'!$C$2:$C$25,MATCH($A4,'By Rank'!$B$2:$B$25,0)),0)</f>
        <v>0.075</v>
      </c>
      <c r="D4" s="9" t="n">
        <f aca="false">IFERROR(INDEX('By Rank'!$E$2:$E$25,MATCH($A4,'By Rank'!$D$2:$D$25,0)),0)</f>
        <v>0.04</v>
      </c>
      <c r="E4" s="9" t="n">
        <f aca="false">IFERROR(INDEX('By Rank'!$G$2:$G$25,MATCH($A4,'By Rank'!$F$2:$F$25,0)),0)</f>
        <v>0.095</v>
      </c>
    </row>
    <row r="5" customFormat="false" ht="15" hidden="false" customHeight="false" outlineLevel="0" collapsed="false">
      <c r="A5" s="3" t="s">
        <v>13</v>
      </c>
      <c r="B5" s="3" t="s">
        <v>35</v>
      </c>
      <c r="C5" s="9" t="n">
        <f aca="false">IFERROR(INDEX('By Rank'!$C$2:$C$25,MATCH($A5,'By Rank'!$B$2:$B$25,0)),0)</f>
        <v>0.04</v>
      </c>
      <c r="D5" s="9" t="n">
        <f aca="false">IFERROR(INDEX('By Rank'!$E$2:$E$25,MATCH($A5,'By Rank'!$D$2:$D$25,0)),0)</f>
        <v>0.1</v>
      </c>
      <c r="E5" s="9" t="n">
        <f aca="false">IFERROR(INDEX('By Rank'!$G$2:$G$25,MATCH($A5,'By Rank'!$F$2:$F$25,0)),0)</f>
        <v>0.06</v>
      </c>
    </row>
    <row r="6" customFormat="false" ht="15" hidden="false" customHeight="false" outlineLevel="0" collapsed="false">
      <c r="A6" s="3" t="s">
        <v>14</v>
      </c>
      <c r="B6" s="3" t="s">
        <v>35</v>
      </c>
      <c r="C6" s="9" t="n">
        <f aca="false">IFERROR(INDEX('By Rank'!$C$2:$C$25,MATCH($A6,'By Rank'!$B$2:$B$25,0)),0)</f>
        <v>0.055</v>
      </c>
      <c r="D6" s="9" t="n">
        <f aca="false">IFERROR(INDEX('By Rank'!$E$2:$E$25,MATCH($A6,'By Rank'!$D$2:$D$25,0)),0)</f>
        <v>0.015</v>
      </c>
      <c r="E6" s="9" t="n">
        <f aca="false">IFERROR(INDEX('By Rank'!$G$2:$G$25,MATCH($A6,'By Rank'!$F$2:$F$25,0)),0)</f>
        <v>0.035</v>
      </c>
    </row>
    <row r="7" customFormat="false" ht="15" hidden="false" customHeight="false" outlineLevel="0" collapsed="false">
      <c r="A7" s="3" t="s">
        <v>10</v>
      </c>
      <c r="B7" s="3" t="s">
        <v>35</v>
      </c>
      <c r="C7" s="9" t="n">
        <f aca="false">IFERROR(INDEX('By Rank'!$C$2:$C$25,MATCH($A7,'By Rank'!$B$2:$B$25,0)),0)</f>
        <v>0.055</v>
      </c>
      <c r="D7" s="9" t="n">
        <f aca="false">IFERROR(INDEX('By Rank'!$E$2:$E$25,MATCH($A7,'By Rank'!$D$2:$D$25,0)),0)</f>
        <v>0.12</v>
      </c>
      <c r="E7" s="9" t="n">
        <f aca="false">IFERROR(INDEX('By Rank'!$G$2:$G$25,MATCH($A7,'By Rank'!$F$2:$F$25,0)),0)</f>
        <v>0.06</v>
      </c>
    </row>
    <row r="8" customFormat="false" ht="15" hidden="false" customHeight="false" outlineLevel="0" collapsed="false">
      <c r="A8" s="3" t="s">
        <v>28</v>
      </c>
      <c r="B8" s="3" t="s">
        <v>35</v>
      </c>
      <c r="C8" s="9" t="n">
        <f aca="false">IFERROR(INDEX('By Rank'!$C$2:$C$25,MATCH($A8,'By Rank'!$B$2:$B$25,0)),0)</f>
        <v>0.025</v>
      </c>
      <c r="D8" s="9" t="n">
        <f aca="false">IFERROR(INDEX('By Rank'!$E$2:$E$25,MATCH($A8,'By Rank'!$D$2:$D$25,0)),0)</f>
        <v>0.005</v>
      </c>
      <c r="E8" s="9" t="n">
        <f aca="false">IFERROR(INDEX('By Rank'!$G$2:$G$25,MATCH($A8,'By Rank'!$F$2:$F$25,0)),0)</f>
        <v>0.01</v>
      </c>
    </row>
    <row r="9" customFormat="false" ht="15" hidden="false" customHeight="false" outlineLevel="0" collapsed="false">
      <c r="A9" s="3" t="s">
        <v>9</v>
      </c>
      <c r="B9" s="3" t="s">
        <v>35</v>
      </c>
      <c r="C9" s="9" t="n">
        <f aca="false">IFERROR(INDEX('By Rank'!$C$2:$C$25,MATCH($A9,'By Rank'!$B$2:$B$25,0)),0)</f>
        <v>0.08</v>
      </c>
      <c r="D9" s="9" t="n">
        <f aca="false">IFERROR(INDEX('By Rank'!$E$2:$E$25,MATCH($A9,'By Rank'!$D$2:$D$25,0)),0)</f>
        <v>0.06</v>
      </c>
      <c r="E9" s="9" t="n">
        <f aca="false">IFERROR(INDEX('By Rank'!$G$2:$G$25,MATCH($A9,'By Rank'!$F$2:$F$25,0)),0)</f>
        <v>0.085</v>
      </c>
    </row>
    <row r="10" customFormat="false" ht="15" hidden="false" customHeight="false" outlineLevel="0" collapsed="false">
      <c r="A10" s="3" t="s">
        <v>15</v>
      </c>
      <c r="B10" s="3" t="s">
        <v>35</v>
      </c>
      <c r="C10" s="9" t="n">
        <f aca="false">IFERROR(INDEX('By Rank'!$C$2:$C$25,MATCH($A10,'By Rank'!$B$2:$B$25,0)),0)</f>
        <v>0.04</v>
      </c>
      <c r="D10" s="9" t="n">
        <f aca="false">IFERROR(INDEX('By Rank'!$E$2:$E$25,MATCH($A10,'By Rank'!$D$2:$D$25,0)),0)</f>
        <v>0.06</v>
      </c>
      <c r="E10" s="9" t="n">
        <f aca="false">IFERROR(INDEX('By Rank'!$G$2:$G$25,MATCH($A10,'By Rank'!$F$2:$F$25,0)),0)</f>
        <v>0.04</v>
      </c>
    </row>
    <row r="11" customFormat="false" ht="15" hidden="false" customHeight="false" outlineLevel="0" collapsed="false">
      <c r="A11" s="3" t="s">
        <v>12</v>
      </c>
      <c r="B11" s="3" t="s">
        <v>35</v>
      </c>
      <c r="C11" s="9" t="n">
        <f aca="false">IFERROR(INDEX('By Rank'!$C$2:$C$25,MATCH($A11,'By Rank'!$B$2:$B$25,0)),0)</f>
        <v>0.065</v>
      </c>
      <c r="D11" s="9" t="n">
        <f aca="false">IFERROR(INDEX('By Rank'!$E$2:$E$25,MATCH($A11,'By Rank'!$D$2:$D$25,0)),0)</f>
        <v>0.025</v>
      </c>
      <c r="E11" s="9" t="n">
        <f aca="false">IFERROR(INDEX('By Rank'!$G$2:$G$25,MATCH($A11,'By Rank'!$F$2:$F$25,0)),0)</f>
        <v>0.05</v>
      </c>
    </row>
    <row r="12" customFormat="false" ht="15" hidden="false" customHeight="false" outlineLevel="0" collapsed="false">
      <c r="A12" s="3" t="s">
        <v>8</v>
      </c>
      <c r="B12" s="3" t="s">
        <v>35</v>
      </c>
      <c r="C12" s="9" t="n">
        <f aca="false">IFERROR(INDEX('By Rank'!$C$2:$C$25,MATCH($A12,'By Rank'!$B$2:$B$25,0)),0)</f>
        <v>0.045</v>
      </c>
      <c r="D12" s="9" t="n">
        <f aca="false">IFERROR(INDEX('By Rank'!$E$2:$E$25,MATCH($A12,'By Rank'!$D$2:$D$25,0)),0)</f>
        <v>0.14</v>
      </c>
      <c r="E12" s="9" t="n">
        <f aca="false">IFERROR(INDEX('By Rank'!$G$2:$G$25,MATCH($A12,'By Rank'!$F$2:$F$25,0)),0)</f>
        <v>0.06</v>
      </c>
    </row>
    <row r="13" customFormat="false" ht="15" hidden="false" customHeight="false" outlineLevel="0" collapsed="false">
      <c r="A13" s="3" t="s">
        <v>24</v>
      </c>
      <c r="B13" s="3" t="s">
        <v>35</v>
      </c>
      <c r="C13" s="9" t="n">
        <f aca="false">IFERROR(INDEX('By Rank'!$C$2:$C$25,MATCH($A13,'By Rank'!$B$2:$B$25,0)),0)</f>
        <v>0.035</v>
      </c>
      <c r="D13" s="9" t="n">
        <f aca="false">IFERROR(INDEX('By Rank'!$E$2:$E$25,MATCH($A13,'By Rank'!$D$2:$D$25,0)),0)</f>
        <v>0.01</v>
      </c>
      <c r="E13" s="9" t="n">
        <f aca="false">IFERROR(INDEX('By Rank'!$G$2:$G$25,MATCH($A13,'By Rank'!$F$2:$F$25,0)),0)</f>
        <v>0.015</v>
      </c>
    </row>
    <row r="14" customFormat="false" ht="15" hidden="false" customHeight="false" outlineLevel="0" collapsed="false">
      <c r="A14" s="3" t="s">
        <v>21</v>
      </c>
      <c r="B14" s="3" t="s">
        <v>36</v>
      </c>
      <c r="C14" s="9" t="n">
        <f aca="false">IFERROR(INDEX('By Rank'!$C$2:$C$25,MATCH($A14,'By Rank'!$B$2:$B$25,0)),0)</f>
        <v>0.025</v>
      </c>
      <c r="D14" s="9" t="n">
        <f aca="false">IFERROR(INDEX('By Rank'!$E$2:$E$25,MATCH($A14,'By Rank'!$D$2:$D$25,0)),0)</f>
        <v>0.04</v>
      </c>
      <c r="E14" s="9" t="n">
        <f aca="false">IFERROR(INDEX('By Rank'!$G$2:$G$25,MATCH($A14,'By Rank'!$F$2:$F$25,0)),0)</f>
        <v>0.045</v>
      </c>
    </row>
    <row r="15" customFormat="false" ht="15" hidden="false" customHeight="false" outlineLevel="0" collapsed="false">
      <c r="A15" s="3" t="s">
        <v>26</v>
      </c>
      <c r="B15" s="3" t="s">
        <v>36</v>
      </c>
      <c r="C15" s="9" t="n">
        <f aca="false">IFERROR(INDEX('By Rank'!$C$2:$C$25,MATCH($A15,'By Rank'!$B$2:$B$25,0)),0)</f>
        <v>0.03</v>
      </c>
      <c r="D15" s="9" t="n">
        <f aca="false">IFERROR(INDEX('By Rank'!$E$2:$E$25,MATCH($A15,'By Rank'!$D$2:$D$25,0)),0)</f>
        <v>0.005</v>
      </c>
      <c r="E15" s="9" t="n">
        <f aca="false">IFERROR(INDEX('By Rank'!$G$2:$G$25,MATCH($A15,'By Rank'!$F$2:$F$25,0)),0)</f>
        <v>0.02</v>
      </c>
    </row>
    <row r="16" customFormat="false" ht="15" hidden="false" customHeight="false" outlineLevel="0" collapsed="false">
      <c r="A16" s="3" t="s">
        <v>18</v>
      </c>
      <c r="B16" s="3" t="s">
        <v>36</v>
      </c>
      <c r="C16" s="9" t="n">
        <f aca="false">IFERROR(INDEX('By Rank'!$C$2:$C$25,MATCH($A16,'By Rank'!$B$2:$B$25,0)),0)</f>
        <v>0.035</v>
      </c>
      <c r="D16" s="9" t="n">
        <f aca="false">IFERROR(INDEX('By Rank'!$E$2:$E$25,MATCH($A16,'By Rank'!$D$2:$D$25,0)),0)</f>
        <v>0.05</v>
      </c>
      <c r="E16" s="9" t="n">
        <f aca="false">IFERROR(INDEX('By Rank'!$G$2:$G$25,MATCH($A16,'By Rank'!$F$2:$F$25,0)),0)</f>
        <v>0.05</v>
      </c>
    </row>
    <row r="17" customFormat="false" ht="15" hidden="false" customHeight="false" outlineLevel="0" collapsed="false">
      <c r="A17" s="3" t="s">
        <v>29</v>
      </c>
      <c r="B17" s="3" t="s">
        <v>36</v>
      </c>
      <c r="C17" s="9" t="n">
        <f aca="false">IFERROR(INDEX('By Rank'!$C$2:$C$25,MATCH($A17,'By Rank'!$B$2:$B$25,0)),0)</f>
        <v>0.01</v>
      </c>
      <c r="D17" s="9" t="n">
        <f aca="false">IFERROR(INDEX('By Rank'!$E$2:$E$25,MATCH($A17,'By Rank'!$D$2:$D$25,0)),0)</f>
        <v>0.01</v>
      </c>
      <c r="E17" s="9" t="n">
        <f aca="false">IFERROR(INDEX('By Rank'!$G$2:$G$25,MATCH($A17,'By Rank'!$F$2:$F$25,0)),0)</f>
        <v>0.015</v>
      </c>
    </row>
    <row r="18" customFormat="false" ht="15" hidden="false" customHeight="false" outlineLevel="0" collapsed="false">
      <c r="A18" s="3" t="s">
        <v>20</v>
      </c>
      <c r="B18" s="3" t="s">
        <v>36</v>
      </c>
      <c r="C18" s="9" t="n">
        <f aca="false">IFERROR(INDEX('By Rank'!$C$2:$C$25,MATCH($A18,'By Rank'!$B$2:$B$25,0)),0)</f>
        <v>0.045</v>
      </c>
      <c r="D18" s="9" t="n">
        <f aca="false">IFERROR(INDEX('By Rank'!$E$2:$E$25,MATCH($A18,'By Rank'!$D$2:$D$25,0)),0)</f>
        <v>0.02</v>
      </c>
      <c r="E18" s="9" t="n">
        <f aca="false">IFERROR(INDEX('By Rank'!$G$2:$G$25,MATCH($A18,'By Rank'!$F$2:$F$25,0)),0)</f>
        <v>0.035</v>
      </c>
    </row>
    <row r="19" customFormat="false" ht="15" hidden="false" customHeight="false" outlineLevel="0" collapsed="false">
      <c r="A19" s="3" t="s">
        <v>22</v>
      </c>
      <c r="B19" s="3" t="s">
        <v>36</v>
      </c>
      <c r="C19" s="9" t="n">
        <f aca="false">IFERROR(INDEX('By Rank'!$C$2:$C$25,MATCH($A19,'By Rank'!$B$2:$B$25,0)),0)</f>
        <v>0.02</v>
      </c>
      <c r="D19" s="9" t="n">
        <f aca="false">IFERROR(INDEX('By Rank'!$E$2:$E$25,MATCH($A19,'By Rank'!$D$2:$D$25,0)),0)</f>
        <v>0.03</v>
      </c>
      <c r="E19" s="9" t="n">
        <f aca="false">IFERROR(INDEX('By Rank'!$G$2:$G$25,MATCH($A19,'By Rank'!$F$2:$F$25,0)),0)</f>
        <v>0.03</v>
      </c>
    </row>
    <row r="20" customFormat="false" ht="15" hidden="false" customHeight="false" outlineLevel="0" collapsed="false">
      <c r="A20" s="3" t="s">
        <v>25</v>
      </c>
      <c r="B20" s="3" t="s">
        <v>36</v>
      </c>
      <c r="C20" s="9" t="n">
        <f aca="false">IFERROR(INDEX('By Rank'!$C$2:$C$25,MATCH($A20,'By Rank'!$B$2:$B$25,0)),0)</f>
        <v>0.03</v>
      </c>
      <c r="D20" s="9" t="n">
        <f aca="false">IFERROR(INDEX('By Rank'!$E$2:$E$25,MATCH($A20,'By Rank'!$D$2:$D$25,0)),0)</f>
        <v>0.01</v>
      </c>
      <c r="E20" s="9" t="n">
        <f aca="false">IFERROR(INDEX('By Rank'!$G$2:$G$25,MATCH($A20,'By Rank'!$F$2:$F$25,0)),0)</f>
        <v>0.025</v>
      </c>
    </row>
    <row r="21" customFormat="false" ht="15" hidden="false" customHeight="false" outlineLevel="0" collapsed="false">
      <c r="A21" s="3" t="s">
        <v>17</v>
      </c>
      <c r="B21" s="3" t="s">
        <v>36</v>
      </c>
      <c r="C21" s="9" t="n">
        <f aca="false">IFERROR(INDEX('By Rank'!$C$2:$C$25,MATCH($A21,'By Rank'!$B$2:$B$25,0)),0)</f>
        <v>0.025</v>
      </c>
      <c r="D21" s="9" t="n">
        <f aca="false">IFERROR(INDEX('By Rank'!$E$2:$E$25,MATCH($A21,'By Rank'!$D$2:$D$25,0)),0)</f>
        <v>0.05</v>
      </c>
      <c r="E21" s="9" t="n">
        <f aca="false">IFERROR(INDEX('By Rank'!$G$2:$G$25,MATCH($A21,'By Rank'!$F$2:$F$25,0)),0)</f>
        <v>0.045</v>
      </c>
    </row>
    <row r="22" customFormat="false" ht="15" hidden="false" customHeight="false" outlineLevel="0" collapsed="false">
      <c r="A22" s="3" t="s">
        <v>30</v>
      </c>
      <c r="B22" s="3" t="s">
        <v>36</v>
      </c>
      <c r="C22" s="9" t="n">
        <f aca="false">IFERROR(INDEX('By Rank'!$C$2:$C$25,MATCH($A22,'By Rank'!$B$2:$B$25,0)),0)</f>
        <v>0.02</v>
      </c>
      <c r="D22" s="9" t="n">
        <f aca="false">IFERROR(INDEX('By Rank'!$E$2:$E$25,MATCH($A22,'By Rank'!$D$2:$D$25,0)),0)</f>
        <v>0.005</v>
      </c>
      <c r="E22" s="9" t="n">
        <f aca="false">IFERROR(INDEX('By Rank'!$G$2:$G$25,MATCH($A22,'By Rank'!$F$2:$F$25,0)),0)</f>
        <v>0.015</v>
      </c>
    </row>
    <row r="23" customFormat="false" ht="15" hidden="false" customHeight="false" outlineLevel="0" collapsed="false">
      <c r="A23" s="3" t="s">
        <v>19</v>
      </c>
      <c r="B23" s="3" t="s">
        <v>36</v>
      </c>
      <c r="C23" s="9" t="n">
        <f aca="false">IFERROR(INDEX('By Rank'!$C$2:$C$25,MATCH($A23,'By Rank'!$B$2:$B$25,0)),0)</f>
        <v>0.045</v>
      </c>
      <c r="D23" s="9" t="n">
        <f aca="false">IFERROR(INDEX('By Rank'!$E$2:$E$25,MATCH($A23,'By Rank'!$D$2:$D$25,0)),0)</f>
        <v>0.03</v>
      </c>
      <c r="E23" s="9" t="n">
        <f aca="false">IFERROR(INDEX('By Rank'!$G$2:$G$25,MATCH($A23,'By Rank'!$F$2:$F$25,0)),0)</f>
        <v>0.05</v>
      </c>
    </row>
    <row r="24" customFormat="false" ht="15" hidden="false" customHeight="false" outlineLevel="0" collapsed="false">
      <c r="A24" s="3" t="s">
        <v>27</v>
      </c>
      <c r="B24" s="3" t="s">
        <v>36</v>
      </c>
      <c r="C24" s="9" t="n">
        <f aca="false">IFERROR(INDEX('By Rank'!$C$2:$C$25,MATCH($A24,'By Rank'!$B$2:$B$25,0)),0)</f>
        <v>0.01</v>
      </c>
      <c r="D24" s="9" t="n">
        <f aca="false">IFERROR(INDEX('By Rank'!$E$2:$E$25,MATCH($A24,'By Rank'!$D$2:$D$25,0)),0)</f>
        <v>0.015</v>
      </c>
      <c r="E24" s="9" t="n">
        <f aca="false">IFERROR(INDEX('By Rank'!$G$2:$G$25,MATCH($A24,'By Rank'!$F$2:$F$25,0)),0)</f>
        <v>0.015</v>
      </c>
    </row>
    <row r="25" customFormat="false" ht="15" hidden="false" customHeight="false" outlineLevel="0" collapsed="false">
      <c r="A25" s="3" t="s">
        <v>23</v>
      </c>
      <c r="B25" s="3" t="s">
        <v>36</v>
      </c>
      <c r="C25" s="9" t="n">
        <f aca="false">IFERROR(INDEX('By Rank'!$C$2:$C$25,MATCH($A25,'By Rank'!$B$2:$B$25,0)),0)</f>
        <v>0.04</v>
      </c>
      <c r="D25" s="9" t="n">
        <f aca="false">IFERROR(INDEX('By Rank'!$E$2:$E$25,MATCH($A25,'By Rank'!$D$2:$D$25,0)),0)</f>
        <v>0.015</v>
      </c>
      <c r="E25" s="9" t="n">
        <f aca="false">IFERROR(INDEX('By Rank'!$G$2:$G$25,MATCH($A25,'By Rank'!$F$2:$F$25,0)),0)</f>
        <v>0.03</v>
      </c>
    </row>
    <row r="27" customFormat="false" ht="15" hidden="false" customHeight="false" outlineLevel="0" collapsed="false">
      <c r="A27" s="5" t="s">
        <v>37</v>
      </c>
      <c r="B27" s="6"/>
      <c r="C27" s="7" t="n">
        <f aca="false">SUMIF($B$2:$B$25,"Major",C$2:C$25)</f>
        <v>0.65</v>
      </c>
      <c r="D27" s="7" t="n">
        <f aca="false">SUMIF($B$2:$B$25,"Major",D$2:D$25)</f>
        <v>0.715</v>
      </c>
      <c r="E27" s="7" t="n">
        <f aca="false">SUMIF($B$2:$B$25,"Major",E$2:E$25)</f>
        <v>0.625</v>
      </c>
    </row>
    <row r="28" customFormat="false" ht="15" hidden="false" customHeight="false" outlineLevel="0" collapsed="false">
      <c r="A28" s="5" t="s">
        <v>38</v>
      </c>
      <c r="B28" s="6"/>
      <c r="C28" s="7" t="n">
        <f aca="false">SUMIF($B$2:$B$25,"Minor",C$2:C$25)</f>
        <v>0.335</v>
      </c>
      <c r="D28" s="7" t="n">
        <f aca="false">SUMIF($B$2:$B$25,"Minor",D$2:D$25)</f>
        <v>0.28</v>
      </c>
      <c r="E28" s="7" t="n">
        <f aca="false">SUMIF($B$2:$B$25,"Minor",E$2:E$25)</f>
        <v>0.375</v>
      </c>
    </row>
    <row r="29" customFormat="false" ht="15" hidden="false" customHeight="false" outlineLevel="0" collapsed="false">
      <c r="A29" s="5" t="s">
        <v>31</v>
      </c>
      <c r="B29" s="6"/>
      <c r="C29" s="7" t="n">
        <f aca="false">SUM(C2:C25)</f>
        <v>0.985</v>
      </c>
      <c r="D29" s="7" t="n">
        <f aca="false">SUM(D2:D25)</f>
        <v>0.995</v>
      </c>
      <c r="E29" s="7" t="n">
        <f aca="false">SUM(E2:E25)</f>
        <v>1</v>
      </c>
    </row>
  </sheetData>
  <autoFilter ref="A1:E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0" t="s">
        <v>39</v>
      </c>
    </row>
    <row r="2" customFormat="false" ht="15" hidden="false" customHeight="false" outlineLevel="0" collapsed="false">
      <c r="A2" s="11" t="s">
        <v>40</v>
      </c>
    </row>
    <row r="3" customFormat="false" ht="15" hidden="false" customHeight="false" outlineLevel="0" collapsed="false">
      <c r="A3" s="11" t="s">
        <v>41</v>
      </c>
    </row>
    <row r="4" customFormat="false" ht="15" hidden="false" customHeight="false" outlineLevel="0" collapsed="false">
      <c r="A4" s="11"/>
    </row>
    <row r="5" customFormat="false" ht="15" hidden="false" customHeight="false" outlineLevel="0" collapsed="false">
      <c r="A5" s="10" t="s">
        <v>42</v>
      </c>
    </row>
    <row r="6" customFormat="false" ht="15" hidden="false" customHeight="false" outlineLevel="0" collapsed="false">
      <c r="A6" s="11" t="s">
        <v>43</v>
      </c>
    </row>
    <row r="7" customFormat="false" ht="15" hidden="false" customHeight="false" outlineLevel="0" collapsed="false">
      <c r="A7" s="11" t="s">
        <v>44</v>
      </c>
    </row>
    <row r="8" customFormat="false" ht="15" hidden="false" customHeight="false" outlineLevel="0" collapsed="false">
      <c r="A8" s="11" t="s">
        <v>45</v>
      </c>
    </row>
    <row r="9" customFormat="false" ht="15" hidden="false" customHeight="false" outlineLevel="0" collapsed="false">
      <c r="A9" s="11"/>
    </row>
    <row r="10" customFormat="false" ht="15" hidden="false" customHeight="false" outlineLevel="0" collapsed="false">
      <c r="A10" s="10" t="s">
        <v>46</v>
      </c>
    </row>
    <row r="11" customFormat="false" ht="15" hidden="false" customHeight="false" outlineLevel="0" collapsed="false">
      <c r="A11" s="11" t="s">
        <v>47</v>
      </c>
    </row>
    <row r="12" customFormat="false" ht="15" hidden="false" customHeight="false" outlineLevel="0" collapsed="false">
      <c r="A12" s="11" t="s">
        <v>48</v>
      </c>
    </row>
    <row r="13" customFormat="false" ht="15" hidden="false" customHeight="false" outlineLevel="0" collapsed="false">
      <c r="A13" s="11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2026-10-19T20:04:49Z</dcterms:created>
  <dc:creator>openpyxl</dc:creator>
  <dc:description/>
  <dc:language>en-US</dc:language>
  <cp:lastModifiedBy/>
  <dcterms:modified xsi:type="dcterms:W3CDTF">2026-10-19T20:04:49Z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