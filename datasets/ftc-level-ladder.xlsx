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dder" sheetId="1" state="visible" r:id="rId3"/>
    <sheet name="Groups" sheetId="2" state="visible" r:id="rId4"/>
    <sheet name="Keys" sheetId="3" state="visible" r:id="rId5"/>
    <sheet name="Plan" sheetId="4" state="visible" r:id="rId6"/>
  </sheets>
  <definedNames>
    <definedName function="false" hidden="true" localSheetId="0" name="_xlnm._FilterDatabase" vbProcedure="false">Ladder!$A$1:$J$145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<sst xmlns="http://schemas.openxmlformats.org/spreadsheetml/2006/main" count="364" uniqueCount="111">
  <si>
    <t xml:space="preserve">Level</t>
  </si>
  <si>
    <t xml:space="preserve">Plan step</t>
  </si>
  <si>
    <t xml:space="preserve">What was added</t>
  </si>
  <si>
    <t xml:space="preserve">Keys in play (count)</t>
  </si>
  <si>
    <t xml:space="preserve">Chord groups available</t>
  </si>
  <si>
    <t xml:space="preserve">Chunk</t>
  </si>
  <si>
    <t xml:space="preserve">Chords added in this chunk</t>
  </si>
  <si>
    <t xml:space="preserve">Keys in play</t>
  </si>
  <si>
    <t xml:space="preserve">Chords in play (count)</t>
  </si>
  <si>
    <t xml:space="preserve">Question pool (keys × chords)</t>
  </si>
  <si>
    <t xml:space="preserve">–</t>
  </si>
  <si>
    <t xml:space="preserve">Start</t>
  </si>
  <si>
    <t xml:space="preserve">C</t>
  </si>
  <si>
    <t xml:space="preserve">New key: D</t>
  </si>
  <si>
    <t xml:space="preserve">C, D</t>
  </si>
  <si>
    <t xml:space="preserve">New key: G</t>
  </si>
  <si>
    <t xml:space="preserve">C, D, G</t>
  </si>
  <si>
    <t xml:space="preserve">New key: A</t>
  </si>
  <si>
    <t xml:space="preserve">C, D, G, A</t>
  </si>
  <si>
    <t xml:space="preserve">New key: F</t>
  </si>
  <si>
    <t xml:space="preserve">C, D, G, A, F</t>
  </si>
  <si>
    <t xml:space="preserve">New chords: group 2 (keys reset to C D, climbing back)</t>
  </si>
  <si>
    <t xml:space="preserve">New key: D♭ (chords rebuild)</t>
  </si>
  <si>
    <t xml:space="preserve">C, D, G, A, F, D♭</t>
  </si>
  <si>
    <t xml:space="preserve">New key: B♭ (chords rebuild)</t>
  </si>
  <si>
    <t xml:space="preserve">C, D, G, A, F, D♭, B♭</t>
  </si>
  <si>
    <t xml:space="preserve">New key: E♭ (chords rebuild)</t>
  </si>
  <si>
    <t xml:space="preserve">C, D, G, A, F, D♭, B♭, E♭</t>
  </si>
  <si>
    <t xml:space="preserve">New chords: group 3 (keys reset to C D, climbing back)</t>
  </si>
  <si>
    <t xml:space="preserve">New key: E (chords rebuild)</t>
  </si>
  <si>
    <t xml:space="preserve">C, D, G, A, F, D♭, B♭, E♭, E</t>
  </si>
  <si>
    <t xml:space="preserve">New key: A♭ (chords rebuild)</t>
  </si>
  <si>
    <t xml:space="preserve">C, D, G, A, F, D♭, B♭, E♭, E, A♭</t>
  </si>
  <si>
    <t xml:space="preserve">New chords: group 4 (keys reset to C D, climbing back)</t>
  </si>
  <si>
    <t xml:space="preserve">New key: B (chords rebuild)</t>
  </si>
  <si>
    <t xml:space="preserve">C, D, G, A, F, D♭, B♭, E♭, E, A♭, B</t>
  </si>
  <si>
    <t xml:space="preserve">New key: F♯/G♭ (chords rebuild)</t>
  </si>
  <si>
    <t xml:space="preserve">C, D, G, A, F, D♭, B♭, E♭, E, A♭, B, F♯/G♭</t>
  </si>
  <si>
    <t xml:space="preserve">New chords: group 5 (keys reset to C D, climbing back)</t>
  </si>
  <si>
    <t xml:space="preserve">New chords: group 6 (keys reset to C D, climbing back)</t>
  </si>
  <si>
    <t xml:space="preserve">New chords: group 7 (keys reset to C D, climbing back)</t>
  </si>
  <si>
    <t xml:space="preserve">New chords: group 8 (keys reset to C D, climbing back)</t>
  </si>
  <si>
    <t xml:space="preserve">New chords: group 9 (keys reset to C D, climbing back)</t>
  </si>
  <si>
    <t xml:space="preserve">New chords: group 10 (keys reset to C D, climbing back)</t>
  </si>
  <si>
    <t xml:space="preserve">New chords: group 11 (keys reset to C D, climbing back)</t>
  </si>
  <si>
    <t xml:space="preserve">New chords: group 12 (keys reset to C D, climbing back)</t>
  </si>
  <si>
    <t xml:space="preserve">New chords: group 13 (keys reset to C D, climbing back)</t>
  </si>
  <si>
    <t xml:space="preserve">Group / chunk</t>
  </si>
  <si>
    <t xml:space="preserve">Chords</t>
  </si>
  <si>
    <t xml:space="preserve">Chord count</t>
  </si>
  <si>
    <t xml:space="preserve">I, IV, V, V7</t>
  </si>
  <si>
    <t xml:space="preserve">vi, ii</t>
  </si>
  <si>
    <t xml:space="preserve">I7, IV7, ii7, vi7</t>
  </si>
  <si>
    <t xml:space="preserve">iii, vii°</t>
  </si>
  <si>
    <t xml:space="preserve">iii7, vii°7</t>
  </si>
  <si>
    <t xml:space="preserve">sus4: I, V, IV</t>
  </si>
  <si>
    <t xml:space="preserve">sus4: vi, ii, iii, vii°</t>
  </si>
  <si>
    <t xml:space="preserve">sus2: I, V, IV</t>
  </si>
  <si>
    <t xml:space="preserve">sus2: vi, ii, iii, vii°</t>
  </si>
  <si>
    <t xml:space="preserve">add9: I, V, IV</t>
  </si>
  <si>
    <t xml:space="preserve">add9: vi, ii, iii, vii°</t>
  </si>
  <si>
    <t xml:space="preserve">9th: I, V, IV</t>
  </si>
  <si>
    <t xml:space="preserve">9th: vi, ii, iii, vii°</t>
  </si>
  <si>
    <t xml:space="preserve">Order</t>
  </si>
  <si>
    <t xml:space="preserve">Key (major)</t>
  </si>
  <si>
    <t xml:space="preserve">D</t>
  </si>
  <si>
    <t xml:space="preserve">G</t>
  </si>
  <si>
    <t xml:space="preserve">A</t>
  </si>
  <si>
    <t xml:space="preserve">F</t>
  </si>
  <si>
    <t xml:space="preserve">D♭</t>
  </si>
  <si>
    <t xml:space="preserve">B♭</t>
  </si>
  <si>
    <t xml:space="preserve">E♭</t>
  </si>
  <si>
    <t xml:space="preserve">E</t>
  </si>
  <si>
    <t xml:space="preserve">A♭</t>
  </si>
  <si>
    <t xml:space="preserve">B</t>
  </si>
  <si>
    <t xml:space="preserve">F♯/G♭</t>
  </si>
  <si>
    <t xml:space="preserve">Step</t>
  </si>
  <si>
    <t xml:space="preserve">Adds</t>
  </si>
  <si>
    <t xml:space="preserve">First level</t>
  </si>
  <si>
    <t xml:space="preserve">Last level</t>
  </si>
  <si>
    <t xml:space="preserve">start</t>
  </si>
  <si>
    <t xml:space="preserve">Key C, group 1 (I IV V V7)</t>
  </si>
  <si>
    <t xml:space="preserve">Key D</t>
  </si>
  <si>
    <t xml:space="preserve">Key G</t>
  </si>
  <si>
    <t xml:space="preserve">Key A</t>
  </si>
  <si>
    <t xml:space="preserve">Key F</t>
  </si>
  <si>
    <t xml:space="preserve">Group 2 (vi, ii)</t>
  </si>
  <si>
    <t xml:space="preserve">Key D♭</t>
  </si>
  <si>
    <t xml:space="preserve">Key B♭</t>
  </si>
  <si>
    <t xml:space="preserve">Key E♭</t>
  </si>
  <si>
    <t xml:space="preserve">Group 3 (I7 IV7 ii7 vi7)</t>
  </si>
  <si>
    <t xml:space="preserve">Key E</t>
  </si>
  <si>
    <t xml:space="preserve">Key A♭</t>
  </si>
  <si>
    <t xml:space="preserve">Group 4 (iii, vii°)</t>
  </si>
  <si>
    <t xml:space="preserve">Key B</t>
  </si>
  <si>
    <t xml:space="preserve">Key F♯/G♭</t>
  </si>
  <si>
    <t xml:space="preserve">Group 5 (iii7, vii°7)</t>
  </si>
  <si>
    <t xml:space="preserve">Group 6 (sus4: I, V, IV)</t>
  </si>
  <si>
    <t xml:space="preserve">Group 7 (sus4: vi, ii, iii, vii°)</t>
  </si>
  <si>
    <t xml:space="preserve">Group 8 (sus2: I, V, IV)</t>
  </si>
  <si>
    <t xml:space="preserve">Group 9 (sus2: vi, ii, iii, vii°)</t>
  </si>
  <si>
    <t xml:space="preserve">Group 10 (add9: I, V, IV)</t>
  </si>
  <si>
    <t xml:space="preserve">Group 11 (add9: vi, ii, iii, vii°)</t>
  </si>
  <si>
    <t xml:space="preserve">Group 12 (9th: I, V, IV)</t>
  </si>
  <si>
    <t xml:space="preserve">Group 13 (9th: vi, ii, iii, vii°)</t>
  </si>
  <si>
    <t xml:space="preserve">Notes</t>
  </si>
  <si>
    <t xml:space="preserve">A chunk is the highest chord group introduced so far; it never goes down, even when a new key temporarily limits the available chord groups.</t>
  </si>
  <si>
    <t xml:space="preserve">Major, Pop ladder (Jazz adds four more chord groups: 11th and 13th chords, 188 levels). Minor uses the relative minors of the same keys.</t>
  </si>
  <si>
    <t xml:space="preserve">A new chord group sends the keys back to C and D, which then return one at a time up to the keys already known.</t>
  </si>
  <si>
    <t xml:space="preserve">A new key, once group 2 or later is in, sends the chords back to group 1, which then return one group at a time.</t>
  </si>
  <si>
    <t xml:space="preserve">Source: ladder() in js/findchord.js, generated from the app code.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</si>
</sst>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5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9"/>
    <col collapsed="false" customWidth="true" hidden="false" outlineLevel="0" max="7" min="7" style="0" width="30"/>
    <col collapsed="false" customWidth="true" hidden="false" outlineLevel="0" max="8" min="8" style="0" width="40"/>
    <col collapsed="false" customWidth="true" hidden="false" outlineLevel="0" max="9" min="9" style="0" width="16"/>
    <col collapsed="false" customWidth="true" hidden="false" outlineLevel="0" max="10" min="10" style="0" width="18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1</v>
      </c>
      <c r="B2" s="2" t="s">
        <v>10</v>
      </c>
      <c r="C2" s="2" t="s">
        <v>11</v>
      </c>
      <c r="D2" s="2" t="n">
        <v>1</v>
      </c>
      <c r="E2" s="2" t="n">
        <v>1</v>
      </c>
      <c r="F2" s="2" t="n">
        <f aca="false">MAX(E$2:E2)</f>
        <v>1</v>
      </c>
      <c r="G2" s="2" t="str">
        <f aca="false">INDEX(Groups!$B$2:$B$14,F2)</f>
        <v>I, IV, V, V7</v>
      </c>
      <c r="H2" s="2" t="s">
        <v>12</v>
      </c>
      <c r="I2" s="2" t="n">
        <f aca="false">SUMPRODUCT((Groups!$A$2:$A$14&lt;=E2)*Groups!$C$2:$C$14)</f>
        <v>4</v>
      </c>
      <c r="J2" s="2" t="n">
        <f aca="false">D2*I2</f>
        <v>4</v>
      </c>
    </row>
    <row r="3" customFormat="false" ht="15" hidden="false" customHeight="false" outlineLevel="0" collapsed="false">
      <c r="A3" s="2" t="n">
        <v>2</v>
      </c>
      <c r="B3" s="2" t="n">
        <v>1</v>
      </c>
      <c r="C3" s="2" t="s">
        <v>13</v>
      </c>
      <c r="D3" s="2" t="n">
        <v>2</v>
      </c>
      <c r="E3" s="2" t="n">
        <v>1</v>
      </c>
      <c r="F3" s="2" t="n">
        <f aca="false">MAX(E$2:E3)</f>
        <v>1</v>
      </c>
      <c r="G3" s="2" t="str">
        <f aca="false">INDEX(Groups!$B$2:$B$14,F3)</f>
        <v>I, IV, V, V7</v>
      </c>
      <c r="H3" s="2" t="s">
        <v>14</v>
      </c>
      <c r="I3" s="2" t="n">
        <f aca="false">SUMPRODUCT((Groups!$A$2:$A$14&lt;=E3)*Groups!$C$2:$C$14)</f>
        <v>4</v>
      </c>
      <c r="J3" s="2" t="n">
        <f aca="false">D3*I3</f>
        <v>8</v>
      </c>
    </row>
    <row r="4" customFormat="false" ht="15" hidden="false" customHeight="false" outlineLevel="0" collapsed="false">
      <c r="A4" s="2" t="n">
        <v>3</v>
      </c>
      <c r="B4" s="2" t="n">
        <v>2</v>
      </c>
      <c r="C4" s="2" t="s">
        <v>15</v>
      </c>
      <c r="D4" s="2" t="n">
        <v>3</v>
      </c>
      <c r="E4" s="2" t="n">
        <v>1</v>
      </c>
      <c r="F4" s="2" t="n">
        <f aca="false">MAX(E$2:E4)</f>
        <v>1</v>
      </c>
      <c r="G4" s="2" t="str">
        <f aca="false">INDEX(Groups!$B$2:$B$14,F4)</f>
        <v>I, IV, V, V7</v>
      </c>
      <c r="H4" s="2" t="s">
        <v>16</v>
      </c>
      <c r="I4" s="2" t="n">
        <f aca="false">SUMPRODUCT((Groups!$A$2:$A$14&lt;=E4)*Groups!$C$2:$C$14)</f>
        <v>4</v>
      </c>
      <c r="J4" s="2" t="n">
        <f aca="false">D4*I4</f>
        <v>12</v>
      </c>
    </row>
    <row r="5" customFormat="false" ht="15" hidden="false" customHeight="false" outlineLevel="0" collapsed="false">
      <c r="A5" s="2" t="n">
        <v>4</v>
      </c>
      <c r="B5" s="2" t="n">
        <v>3</v>
      </c>
      <c r="C5" s="2" t="s">
        <v>17</v>
      </c>
      <c r="D5" s="2" t="n">
        <v>4</v>
      </c>
      <c r="E5" s="2" t="n">
        <v>1</v>
      </c>
      <c r="F5" s="2" t="n">
        <f aca="false">MAX(E$2:E5)</f>
        <v>1</v>
      </c>
      <c r="G5" s="2" t="str">
        <f aca="false">INDEX(Groups!$B$2:$B$14,F5)</f>
        <v>I, IV, V, V7</v>
      </c>
      <c r="H5" s="2" t="s">
        <v>18</v>
      </c>
      <c r="I5" s="2" t="n">
        <f aca="false">SUMPRODUCT((Groups!$A$2:$A$14&lt;=E5)*Groups!$C$2:$C$14)</f>
        <v>4</v>
      </c>
      <c r="J5" s="2" t="n">
        <f aca="false">D5*I5</f>
        <v>16</v>
      </c>
    </row>
    <row r="6" customFormat="false" ht="15" hidden="false" customHeight="false" outlineLevel="0" collapsed="false">
      <c r="A6" s="2" t="n">
        <v>5</v>
      </c>
      <c r="B6" s="2" t="n">
        <v>4</v>
      </c>
      <c r="C6" s="2" t="s">
        <v>19</v>
      </c>
      <c r="D6" s="2" t="n">
        <v>5</v>
      </c>
      <c r="E6" s="2" t="n">
        <v>1</v>
      </c>
      <c r="F6" s="2" t="n">
        <f aca="false">MAX(E$2:E6)</f>
        <v>1</v>
      </c>
      <c r="G6" s="2" t="str">
        <f aca="false">INDEX(Groups!$B$2:$B$14,F6)</f>
        <v>I, IV, V, V7</v>
      </c>
      <c r="H6" s="2" t="s">
        <v>20</v>
      </c>
      <c r="I6" s="2" t="n">
        <f aca="false">SUMPRODUCT((Groups!$A$2:$A$14&lt;=E6)*Groups!$C$2:$C$14)</f>
        <v>4</v>
      </c>
      <c r="J6" s="2" t="n">
        <f aca="false">D6*I6</f>
        <v>20</v>
      </c>
    </row>
    <row r="7" customFormat="false" ht="15" hidden="false" customHeight="false" outlineLevel="0" collapsed="false">
      <c r="A7" s="2" t="n">
        <v>6</v>
      </c>
      <c r="B7" s="2" t="n">
        <v>5</v>
      </c>
      <c r="C7" s="2" t="s">
        <v>21</v>
      </c>
      <c r="D7" s="2" t="n">
        <v>2</v>
      </c>
      <c r="E7" s="2" t="n">
        <v>2</v>
      </c>
      <c r="F7" s="2" t="n">
        <f aca="false">MAX(E$2:E7)</f>
        <v>2</v>
      </c>
      <c r="G7" s="2" t="str">
        <f aca="false">INDEX(Groups!$B$2:$B$14,F7)</f>
        <v>vi, ii</v>
      </c>
      <c r="H7" s="2" t="s">
        <v>14</v>
      </c>
      <c r="I7" s="2" t="n">
        <f aca="false">SUMPRODUCT((Groups!$A$2:$A$14&lt;=E7)*Groups!$C$2:$C$14)</f>
        <v>6</v>
      </c>
      <c r="J7" s="2" t="n">
        <f aca="false">D7*I7</f>
        <v>12</v>
      </c>
    </row>
    <row r="8" customFormat="false" ht="15" hidden="false" customHeight="false" outlineLevel="0" collapsed="false">
      <c r="A8" s="2" t="n">
        <v>7</v>
      </c>
      <c r="B8" s="2" t="n">
        <v>5</v>
      </c>
      <c r="C8" s="2" t="s">
        <v>21</v>
      </c>
      <c r="D8" s="2" t="n">
        <v>3</v>
      </c>
      <c r="E8" s="2" t="n">
        <v>2</v>
      </c>
      <c r="F8" s="2" t="n">
        <f aca="false">MAX(E$2:E8)</f>
        <v>2</v>
      </c>
      <c r="G8" s="2" t="str">
        <f aca="false">INDEX(Groups!$B$2:$B$14,F8)</f>
        <v>vi, ii</v>
      </c>
      <c r="H8" s="2" t="s">
        <v>16</v>
      </c>
      <c r="I8" s="2" t="n">
        <f aca="false">SUMPRODUCT((Groups!$A$2:$A$14&lt;=E8)*Groups!$C$2:$C$14)</f>
        <v>6</v>
      </c>
      <c r="J8" s="2" t="n">
        <f aca="false">D8*I8</f>
        <v>18</v>
      </c>
    </row>
    <row r="9" customFormat="false" ht="15" hidden="false" customHeight="false" outlineLevel="0" collapsed="false">
      <c r="A9" s="2" t="n">
        <v>8</v>
      </c>
      <c r="B9" s="2" t="n">
        <v>5</v>
      </c>
      <c r="C9" s="2" t="s">
        <v>21</v>
      </c>
      <c r="D9" s="2" t="n">
        <v>4</v>
      </c>
      <c r="E9" s="2" t="n">
        <v>2</v>
      </c>
      <c r="F9" s="2" t="n">
        <f aca="false">MAX(E$2:E9)</f>
        <v>2</v>
      </c>
      <c r="G9" s="2" t="str">
        <f aca="false">INDEX(Groups!$B$2:$B$14,F9)</f>
        <v>vi, ii</v>
      </c>
      <c r="H9" s="2" t="s">
        <v>18</v>
      </c>
      <c r="I9" s="2" t="n">
        <f aca="false">SUMPRODUCT((Groups!$A$2:$A$14&lt;=E9)*Groups!$C$2:$C$14)</f>
        <v>6</v>
      </c>
      <c r="J9" s="2" t="n">
        <f aca="false">D9*I9</f>
        <v>24</v>
      </c>
    </row>
    <row r="10" customFormat="false" ht="15" hidden="false" customHeight="false" outlineLevel="0" collapsed="false">
      <c r="A10" s="2" t="n">
        <v>9</v>
      </c>
      <c r="B10" s="2" t="n">
        <v>5</v>
      </c>
      <c r="C10" s="2" t="s">
        <v>21</v>
      </c>
      <c r="D10" s="2" t="n">
        <v>5</v>
      </c>
      <c r="E10" s="2" t="n">
        <v>2</v>
      </c>
      <c r="F10" s="2" t="n">
        <f aca="false">MAX(E$2:E10)</f>
        <v>2</v>
      </c>
      <c r="G10" s="2" t="str">
        <f aca="false">INDEX(Groups!$B$2:$B$14,F10)</f>
        <v>vi, ii</v>
      </c>
      <c r="H10" s="2" t="s">
        <v>20</v>
      </c>
      <c r="I10" s="2" t="n">
        <f aca="false">SUMPRODUCT((Groups!$A$2:$A$14&lt;=E10)*Groups!$C$2:$C$14)</f>
        <v>6</v>
      </c>
      <c r="J10" s="2" t="n">
        <f aca="false">D10*I10</f>
        <v>30</v>
      </c>
    </row>
    <row r="11" customFormat="false" ht="15" hidden="false" customHeight="false" outlineLevel="0" collapsed="false">
      <c r="A11" s="2" t="n">
        <v>10</v>
      </c>
      <c r="B11" s="2" t="n">
        <v>6</v>
      </c>
      <c r="C11" s="2" t="s">
        <v>22</v>
      </c>
      <c r="D11" s="2" t="n">
        <v>6</v>
      </c>
      <c r="E11" s="2" t="n">
        <v>1</v>
      </c>
      <c r="F11" s="2" t="n">
        <f aca="false">MAX(E$2:E11)</f>
        <v>2</v>
      </c>
      <c r="G11" s="2" t="str">
        <f aca="false">INDEX(Groups!$B$2:$B$14,F11)</f>
        <v>vi, ii</v>
      </c>
      <c r="H11" s="2" t="s">
        <v>23</v>
      </c>
      <c r="I11" s="2" t="n">
        <f aca="false">SUMPRODUCT((Groups!$A$2:$A$14&lt;=E11)*Groups!$C$2:$C$14)</f>
        <v>4</v>
      </c>
      <c r="J11" s="2" t="n">
        <f aca="false">D11*I11</f>
        <v>24</v>
      </c>
    </row>
    <row r="12" customFormat="false" ht="15" hidden="false" customHeight="false" outlineLevel="0" collapsed="false">
      <c r="A12" s="2" t="n">
        <v>11</v>
      </c>
      <c r="B12" s="2" t="n">
        <v>6</v>
      </c>
      <c r="C12" s="2" t="s">
        <v>22</v>
      </c>
      <c r="D12" s="2" t="n">
        <v>6</v>
      </c>
      <c r="E12" s="2" t="n">
        <v>2</v>
      </c>
      <c r="F12" s="2" t="n">
        <f aca="false">MAX(E$2:E12)</f>
        <v>2</v>
      </c>
      <c r="G12" s="2" t="str">
        <f aca="false">INDEX(Groups!$B$2:$B$14,F12)</f>
        <v>vi, ii</v>
      </c>
      <c r="H12" s="2" t="s">
        <v>23</v>
      </c>
      <c r="I12" s="2" t="n">
        <f aca="false">SUMPRODUCT((Groups!$A$2:$A$14&lt;=E12)*Groups!$C$2:$C$14)</f>
        <v>6</v>
      </c>
      <c r="J12" s="2" t="n">
        <f aca="false">D12*I12</f>
        <v>36</v>
      </c>
    </row>
    <row r="13" customFormat="false" ht="15" hidden="false" customHeight="false" outlineLevel="0" collapsed="false">
      <c r="A13" s="2" t="n">
        <v>12</v>
      </c>
      <c r="B13" s="2" t="n">
        <v>7</v>
      </c>
      <c r="C13" s="2" t="s">
        <v>24</v>
      </c>
      <c r="D13" s="2" t="n">
        <v>7</v>
      </c>
      <c r="E13" s="2" t="n">
        <v>1</v>
      </c>
      <c r="F13" s="2" t="n">
        <f aca="false">MAX(E$2:E13)</f>
        <v>2</v>
      </c>
      <c r="G13" s="2" t="str">
        <f aca="false">INDEX(Groups!$B$2:$B$14,F13)</f>
        <v>vi, ii</v>
      </c>
      <c r="H13" s="2" t="s">
        <v>25</v>
      </c>
      <c r="I13" s="2" t="n">
        <f aca="false">SUMPRODUCT((Groups!$A$2:$A$14&lt;=E13)*Groups!$C$2:$C$14)</f>
        <v>4</v>
      </c>
      <c r="J13" s="2" t="n">
        <f aca="false">D13*I13</f>
        <v>28</v>
      </c>
    </row>
    <row r="14" customFormat="false" ht="15" hidden="false" customHeight="false" outlineLevel="0" collapsed="false">
      <c r="A14" s="2" t="n">
        <v>13</v>
      </c>
      <c r="B14" s="2" t="n">
        <v>7</v>
      </c>
      <c r="C14" s="2" t="s">
        <v>24</v>
      </c>
      <c r="D14" s="2" t="n">
        <v>7</v>
      </c>
      <c r="E14" s="2" t="n">
        <v>2</v>
      </c>
      <c r="F14" s="2" t="n">
        <f aca="false">MAX(E$2:E14)</f>
        <v>2</v>
      </c>
      <c r="G14" s="2" t="str">
        <f aca="false">INDEX(Groups!$B$2:$B$14,F14)</f>
        <v>vi, ii</v>
      </c>
      <c r="H14" s="2" t="s">
        <v>25</v>
      </c>
      <c r="I14" s="2" t="n">
        <f aca="false">SUMPRODUCT((Groups!$A$2:$A$14&lt;=E14)*Groups!$C$2:$C$14)</f>
        <v>6</v>
      </c>
      <c r="J14" s="2" t="n">
        <f aca="false">D14*I14</f>
        <v>42</v>
      </c>
    </row>
    <row r="15" customFormat="false" ht="15" hidden="false" customHeight="false" outlineLevel="0" collapsed="false">
      <c r="A15" s="2" t="n">
        <v>14</v>
      </c>
      <c r="B15" s="2" t="n">
        <v>8</v>
      </c>
      <c r="C15" s="2" t="s">
        <v>26</v>
      </c>
      <c r="D15" s="2" t="n">
        <v>8</v>
      </c>
      <c r="E15" s="2" t="n">
        <v>1</v>
      </c>
      <c r="F15" s="2" t="n">
        <f aca="false">MAX(E$2:E15)</f>
        <v>2</v>
      </c>
      <c r="G15" s="2" t="str">
        <f aca="false">INDEX(Groups!$B$2:$B$14,F15)</f>
        <v>vi, ii</v>
      </c>
      <c r="H15" s="2" t="s">
        <v>27</v>
      </c>
      <c r="I15" s="2" t="n">
        <f aca="false">SUMPRODUCT((Groups!$A$2:$A$14&lt;=E15)*Groups!$C$2:$C$14)</f>
        <v>4</v>
      </c>
      <c r="J15" s="2" t="n">
        <f aca="false">D15*I15</f>
        <v>32</v>
      </c>
    </row>
    <row r="16" customFormat="false" ht="15" hidden="false" customHeight="false" outlineLevel="0" collapsed="false">
      <c r="A16" s="2" t="n">
        <v>15</v>
      </c>
      <c r="B16" s="2" t="n">
        <v>8</v>
      </c>
      <c r="C16" s="2" t="s">
        <v>26</v>
      </c>
      <c r="D16" s="2" t="n">
        <v>8</v>
      </c>
      <c r="E16" s="2" t="n">
        <v>2</v>
      </c>
      <c r="F16" s="2" t="n">
        <f aca="false">MAX(E$2:E16)</f>
        <v>2</v>
      </c>
      <c r="G16" s="2" t="str">
        <f aca="false">INDEX(Groups!$B$2:$B$14,F16)</f>
        <v>vi, ii</v>
      </c>
      <c r="H16" s="2" t="s">
        <v>27</v>
      </c>
      <c r="I16" s="2" t="n">
        <f aca="false">SUMPRODUCT((Groups!$A$2:$A$14&lt;=E16)*Groups!$C$2:$C$14)</f>
        <v>6</v>
      </c>
      <c r="J16" s="2" t="n">
        <f aca="false">D16*I16</f>
        <v>48</v>
      </c>
    </row>
    <row r="17" customFormat="false" ht="15" hidden="false" customHeight="false" outlineLevel="0" collapsed="false">
      <c r="A17" s="2" t="n">
        <v>16</v>
      </c>
      <c r="B17" s="2" t="n">
        <v>9</v>
      </c>
      <c r="C17" s="2" t="s">
        <v>28</v>
      </c>
      <c r="D17" s="2" t="n">
        <v>2</v>
      </c>
      <c r="E17" s="2" t="n">
        <v>3</v>
      </c>
      <c r="F17" s="2" t="n">
        <f aca="false">MAX(E$2:E17)</f>
        <v>3</v>
      </c>
      <c r="G17" s="2" t="str">
        <f aca="false">INDEX(Groups!$B$2:$B$14,F17)</f>
        <v>I7, IV7, ii7, vi7</v>
      </c>
      <c r="H17" s="2" t="s">
        <v>14</v>
      </c>
      <c r="I17" s="2" t="n">
        <f aca="false">SUMPRODUCT((Groups!$A$2:$A$14&lt;=E17)*Groups!$C$2:$C$14)</f>
        <v>10</v>
      </c>
      <c r="J17" s="2" t="n">
        <f aca="false">D17*I17</f>
        <v>20</v>
      </c>
    </row>
    <row r="18" customFormat="false" ht="15" hidden="false" customHeight="false" outlineLevel="0" collapsed="false">
      <c r="A18" s="2" t="n">
        <v>17</v>
      </c>
      <c r="B18" s="2" t="n">
        <v>9</v>
      </c>
      <c r="C18" s="2" t="s">
        <v>28</v>
      </c>
      <c r="D18" s="2" t="n">
        <v>3</v>
      </c>
      <c r="E18" s="2" t="n">
        <v>3</v>
      </c>
      <c r="F18" s="2" t="n">
        <f aca="false">MAX(E$2:E18)</f>
        <v>3</v>
      </c>
      <c r="G18" s="2" t="str">
        <f aca="false">INDEX(Groups!$B$2:$B$14,F18)</f>
        <v>I7, IV7, ii7, vi7</v>
      </c>
      <c r="H18" s="2" t="s">
        <v>16</v>
      </c>
      <c r="I18" s="2" t="n">
        <f aca="false">SUMPRODUCT((Groups!$A$2:$A$14&lt;=E18)*Groups!$C$2:$C$14)</f>
        <v>10</v>
      </c>
      <c r="J18" s="2" t="n">
        <f aca="false">D18*I18</f>
        <v>30</v>
      </c>
    </row>
    <row r="19" customFormat="false" ht="15" hidden="false" customHeight="false" outlineLevel="0" collapsed="false">
      <c r="A19" s="2" t="n">
        <v>18</v>
      </c>
      <c r="B19" s="2" t="n">
        <v>9</v>
      </c>
      <c r="C19" s="2" t="s">
        <v>28</v>
      </c>
      <c r="D19" s="2" t="n">
        <v>4</v>
      </c>
      <c r="E19" s="2" t="n">
        <v>3</v>
      </c>
      <c r="F19" s="2" t="n">
        <f aca="false">MAX(E$2:E19)</f>
        <v>3</v>
      </c>
      <c r="G19" s="2" t="str">
        <f aca="false">INDEX(Groups!$B$2:$B$14,F19)</f>
        <v>I7, IV7, ii7, vi7</v>
      </c>
      <c r="H19" s="2" t="s">
        <v>18</v>
      </c>
      <c r="I19" s="2" t="n">
        <f aca="false">SUMPRODUCT((Groups!$A$2:$A$14&lt;=E19)*Groups!$C$2:$C$14)</f>
        <v>10</v>
      </c>
      <c r="J19" s="2" t="n">
        <f aca="false">D19*I19</f>
        <v>40</v>
      </c>
    </row>
    <row r="20" customFormat="false" ht="15" hidden="false" customHeight="false" outlineLevel="0" collapsed="false">
      <c r="A20" s="2" t="n">
        <v>19</v>
      </c>
      <c r="B20" s="2" t="n">
        <v>9</v>
      </c>
      <c r="C20" s="2" t="s">
        <v>28</v>
      </c>
      <c r="D20" s="2" t="n">
        <v>5</v>
      </c>
      <c r="E20" s="2" t="n">
        <v>3</v>
      </c>
      <c r="F20" s="2" t="n">
        <f aca="false">MAX(E$2:E20)</f>
        <v>3</v>
      </c>
      <c r="G20" s="2" t="str">
        <f aca="false">INDEX(Groups!$B$2:$B$14,F20)</f>
        <v>I7, IV7, ii7, vi7</v>
      </c>
      <c r="H20" s="2" t="s">
        <v>20</v>
      </c>
      <c r="I20" s="2" t="n">
        <f aca="false">SUMPRODUCT((Groups!$A$2:$A$14&lt;=E20)*Groups!$C$2:$C$14)</f>
        <v>10</v>
      </c>
      <c r="J20" s="2" t="n">
        <f aca="false">D20*I20</f>
        <v>50</v>
      </c>
    </row>
    <row r="21" customFormat="false" ht="15" hidden="false" customHeight="false" outlineLevel="0" collapsed="false">
      <c r="A21" s="2" t="n">
        <v>20</v>
      </c>
      <c r="B21" s="2" t="n">
        <v>9</v>
      </c>
      <c r="C21" s="2" t="s">
        <v>28</v>
      </c>
      <c r="D21" s="2" t="n">
        <v>6</v>
      </c>
      <c r="E21" s="2" t="n">
        <v>3</v>
      </c>
      <c r="F21" s="2" t="n">
        <f aca="false">MAX(E$2:E21)</f>
        <v>3</v>
      </c>
      <c r="G21" s="2" t="str">
        <f aca="false">INDEX(Groups!$B$2:$B$14,F21)</f>
        <v>I7, IV7, ii7, vi7</v>
      </c>
      <c r="H21" s="2" t="s">
        <v>23</v>
      </c>
      <c r="I21" s="2" t="n">
        <f aca="false">SUMPRODUCT((Groups!$A$2:$A$14&lt;=E21)*Groups!$C$2:$C$14)</f>
        <v>10</v>
      </c>
      <c r="J21" s="2" t="n">
        <f aca="false">D21*I21</f>
        <v>60</v>
      </c>
    </row>
    <row r="22" customFormat="false" ht="15" hidden="false" customHeight="false" outlineLevel="0" collapsed="false">
      <c r="A22" s="2" t="n">
        <v>21</v>
      </c>
      <c r="B22" s="2" t="n">
        <v>9</v>
      </c>
      <c r="C22" s="2" t="s">
        <v>28</v>
      </c>
      <c r="D22" s="2" t="n">
        <v>7</v>
      </c>
      <c r="E22" s="2" t="n">
        <v>3</v>
      </c>
      <c r="F22" s="2" t="n">
        <f aca="false">MAX(E$2:E22)</f>
        <v>3</v>
      </c>
      <c r="G22" s="2" t="str">
        <f aca="false">INDEX(Groups!$B$2:$B$14,F22)</f>
        <v>I7, IV7, ii7, vi7</v>
      </c>
      <c r="H22" s="2" t="s">
        <v>25</v>
      </c>
      <c r="I22" s="2" t="n">
        <f aca="false">SUMPRODUCT((Groups!$A$2:$A$14&lt;=E22)*Groups!$C$2:$C$14)</f>
        <v>10</v>
      </c>
      <c r="J22" s="2" t="n">
        <f aca="false">D22*I22</f>
        <v>70</v>
      </c>
    </row>
    <row r="23" customFormat="false" ht="15" hidden="false" customHeight="false" outlineLevel="0" collapsed="false">
      <c r="A23" s="2" t="n">
        <v>22</v>
      </c>
      <c r="B23" s="2" t="n">
        <v>9</v>
      </c>
      <c r="C23" s="2" t="s">
        <v>28</v>
      </c>
      <c r="D23" s="2" t="n">
        <v>8</v>
      </c>
      <c r="E23" s="2" t="n">
        <v>3</v>
      </c>
      <c r="F23" s="2" t="n">
        <f aca="false">MAX(E$2:E23)</f>
        <v>3</v>
      </c>
      <c r="G23" s="2" t="str">
        <f aca="false">INDEX(Groups!$B$2:$B$14,F23)</f>
        <v>I7, IV7, ii7, vi7</v>
      </c>
      <c r="H23" s="2" t="s">
        <v>27</v>
      </c>
      <c r="I23" s="2" t="n">
        <f aca="false">SUMPRODUCT((Groups!$A$2:$A$14&lt;=E23)*Groups!$C$2:$C$14)</f>
        <v>10</v>
      </c>
      <c r="J23" s="2" t="n">
        <f aca="false">D23*I23</f>
        <v>80</v>
      </c>
    </row>
    <row r="24" customFormat="false" ht="15" hidden="false" customHeight="false" outlineLevel="0" collapsed="false">
      <c r="A24" s="2" t="n">
        <v>23</v>
      </c>
      <c r="B24" s="2" t="n">
        <v>10</v>
      </c>
      <c r="C24" s="2" t="s">
        <v>29</v>
      </c>
      <c r="D24" s="2" t="n">
        <v>9</v>
      </c>
      <c r="E24" s="2" t="n">
        <v>1</v>
      </c>
      <c r="F24" s="2" t="n">
        <f aca="false">MAX(E$2:E24)</f>
        <v>3</v>
      </c>
      <c r="G24" s="2" t="str">
        <f aca="false">INDEX(Groups!$B$2:$B$14,F24)</f>
        <v>I7, IV7, ii7, vi7</v>
      </c>
      <c r="H24" s="2" t="s">
        <v>30</v>
      </c>
      <c r="I24" s="2" t="n">
        <f aca="false">SUMPRODUCT((Groups!$A$2:$A$14&lt;=E24)*Groups!$C$2:$C$14)</f>
        <v>4</v>
      </c>
      <c r="J24" s="2" t="n">
        <f aca="false">D24*I24</f>
        <v>36</v>
      </c>
    </row>
    <row r="25" customFormat="false" ht="15" hidden="false" customHeight="false" outlineLevel="0" collapsed="false">
      <c r="A25" s="2" t="n">
        <v>24</v>
      </c>
      <c r="B25" s="2" t="n">
        <v>10</v>
      </c>
      <c r="C25" s="2" t="s">
        <v>29</v>
      </c>
      <c r="D25" s="2" t="n">
        <v>9</v>
      </c>
      <c r="E25" s="2" t="n">
        <v>2</v>
      </c>
      <c r="F25" s="2" t="n">
        <f aca="false">MAX(E$2:E25)</f>
        <v>3</v>
      </c>
      <c r="G25" s="2" t="str">
        <f aca="false">INDEX(Groups!$B$2:$B$14,F25)</f>
        <v>I7, IV7, ii7, vi7</v>
      </c>
      <c r="H25" s="2" t="s">
        <v>30</v>
      </c>
      <c r="I25" s="2" t="n">
        <f aca="false">SUMPRODUCT((Groups!$A$2:$A$14&lt;=E25)*Groups!$C$2:$C$14)</f>
        <v>6</v>
      </c>
      <c r="J25" s="2" t="n">
        <f aca="false">D25*I25</f>
        <v>54</v>
      </c>
    </row>
    <row r="26" customFormat="false" ht="15" hidden="false" customHeight="false" outlineLevel="0" collapsed="false">
      <c r="A26" s="2" t="n">
        <v>25</v>
      </c>
      <c r="B26" s="2" t="n">
        <v>10</v>
      </c>
      <c r="C26" s="2" t="s">
        <v>29</v>
      </c>
      <c r="D26" s="2" t="n">
        <v>9</v>
      </c>
      <c r="E26" s="2" t="n">
        <v>3</v>
      </c>
      <c r="F26" s="2" t="n">
        <f aca="false">MAX(E$2:E26)</f>
        <v>3</v>
      </c>
      <c r="G26" s="2" t="str">
        <f aca="false">INDEX(Groups!$B$2:$B$14,F26)</f>
        <v>I7, IV7, ii7, vi7</v>
      </c>
      <c r="H26" s="2" t="s">
        <v>30</v>
      </c>
      <c r="I26" s="2" t="n">
        <f aca="false">SUMPRODUCT((Groups!$A$2:$A$14&lt;=E26)*Groups!$C$2:$C$14)</f>
        <v>10</v>
      </c>
      <c r="J26" s="2" t="n">
        <f aca="false">D26*I26</f>
        <v>90</v>
      </c>
    </row>
    <row r="27" customFormat="false" ht="15" hidden="false" customHeight="false" outlineLevel="0" collapsed="false">
      <c r="A27" s="2" t="n">
        <v>26</v>
      </c>
      <c r="B27" s="2" t="n">
        <v>11</v>
      </c>
      <c r="C27" s="2" t="s">
        <v>31</v>
      </c>
      <c r="D27" s="2" t="n">
        <v>10</v>
      </c>
      <c r="E27" s="2" t="n">
        <v>1</v>
      </c>
      <c r="F27" s="2" t="n">
        <f aca="false">MAX(E$2:E27)</f>
        <v>3</v>
      </c>
      <c r="G27" s="2" t="str">
        <f aca="false">INDEX(Groups!$B$2:$B$14,F27)</f>
        <v>I7, IV7, ii7, vi7</v>
      </c>
      <c r="H27" s="2" t="s">
        <v>32</v>
      </c>
      <c r="I27" s="2" t="n">
        <f aca="false">SUMPRODUCT((Groups!$A$2:$A$14&lt;=E27)*Groups!$C$2:$C$14)</f>
        <v>4</v>
      </c>
      <c r="J27" s="2" t="n">
        <f aca="false">D27*I27</f>
        <v>40</v>
      </c>
    </row>
    <row r="28" customFormat="false" ht="15" hidden="false" customHeight="false" outlineLevel="0" collapsed="false">
      <c r="A28" s="2" t="n">
        <v>27</v>
      </c>
      <c r="B28" s="2" t="n">
        <v>11</v>
      </c>
      <c r="C28" s="2" t="s">
        <v>31</v>
      </c>
      <c r="D28" s="2" t="n">
        <v>10</v>
      </c>
      <c r="E28" s="2" t="n">
        <v>2</v>
      </c>
      <c r="F28" s="2" t="n">
        <f aca="false">MAX(E$2:E28)</f>
        <v>3</v>
      </c>
      <c r="G28" s="2" t="str">
        <f aca="false">INDEX(Groups!$B$2:$B$14,F28)</f>
        <v>I7, IV7, ii7, vi7</v>
      </c>
      <c r="H28" s="2" t="s">
        <v>32</v>
      </c>
      <c r="I28" s="2" t="n">
        <f aca="false">SUMPRODUCT((Groups!$A$2:$A$14&lt;=E28)*Groups!$C$2:$C$14)</f>
        <v>6</v>
      </c>
      <c r="J28" s="2" t="n">
        <f aca="false">D28*I28</f>
        <v>60</v>
      </c>
    </row>
    <row r="29" customFormat="false" ht="15" hidden="false" customHeight="false" outlineLevel="0" collapsed="false">
      <c r="A29" s="2" t="n">
        <v>28</v>
      </c>
      <c r="B29" s="2" t="n">
        <v>11</v>
      </c>
      <c r="C29" s="2" t="s">
        <v>31</v>
      </c>
      <c r="D29" s="2" t="n">
        <v>10</v>
      </c>
      <c r="E29" s="2" t="n">
        <v>3</v>
      </c>
      <c r="F29" s="2" t="n">
        <f aca="false">MAX(E$2:E29)</f>
        <v>3</v>
      </c>
      <c r="G29" s="2" t="str">
        <f aca="false">INDEX(Groups!$B$2:$B$14,F29)</f>
        <v>I7, IV7, ii7, vi7</v>
      </c>
      <c r="H29" s="2" t="s">
        <v>32</v>
      </c>
      <c r="I29" s="2" t="n">
        <f aca="false">SUMPRODUCT((Groups!$A$2:$A$14&lt;=E29)*Groups!$C$2:$C$14)</f>
        <v>10</v>
      </c>
      <c r="J29" s="2" t="n">
        <f aca="false">D29*I29</f>
        <v>100</v>
      </c>
    </row>
    <row r="30" customFormat="false" ht="15" hidden="false" customHeight="false" outlineLevel="0" collapsed="false">
      <c r="A30" s="2" t="n">
        <v>29</v>
      </c>
      <c r="B30" s="2" t="n">
        <v>12</v>
      </c>
      <c r="C30" s="2" t="s">
        <v>33</v>
      </c>
      <c r="D30" s="2" t="n">
        <v>2</v>
      </c>
      <c r="E30" s="2" t="n">
        <v>4</v>
      </c>
      <c r="F30" s="2" t="n">
        <f aca="false">MAX(E$2:E30)</f>
        <v>4</v>
      </c>
      <c r="G30" s="2" t="str">
        <f aca="false">INDEX(Groups!$B$2:$B$14,F30)</f>
        <v>iii, vii°</v>
      </c>
      <c r="H30" s="2" t="s">
        <v>14</v>
      </c>
      <c r="I30" s="2" t="n">
        <f aca="false">SUMPRODUCT((Groups!$A$2:$A$14&lt;=E30)*Groups!$C$2:$C$14)</f>
        <v>12</v>
      </c>
      <c r="J30" s="2" t="n">
        <f aca="false">D30*I30</f>
        <v>24</v>
      </c>
    </row>
    <row r="31" customFormat="false" ht="15" hidden="false" customHeight="false" outlineLevel="0" collapsed="false">
      <c r="A31" s="2" t="n">
        <v>30</v>
      </c>
      <c r="B31" s="2" t="n">
        <v>12</v>
      </c>
      <c r="C31" s="2" t="s">
        <v>33</v>
      </c>
      <c r="D31" s="2" t="n">
        <v>3</v>
      </c>
      <c r="E31" s="2" t="n">
        <v>4</v>
      </c>
      <c r="F31" s="2" t="n">
        <f aca="false">MAX(E$2:E31)</f>
        <v>4</v>
      </c>
      <c r="G31" s="2" t="str">
        <f aca="false">INDEX(Groups!$B$2:$B$14,F31)</f>
        <v>iii, vii°</v>
      </c>
      <c r="H31" s="2" t="s">
        <v>16</v>
      </c>
      <c r="I31" s="2" t="n">
        <f aca="false">SUMPRODUCT((Groups!$A$2:$A$14&lt;=E31)*Groups!$C$2:$C$14)</f>
        <v>12</v>
      </c>
      <c r="J31" s="2" t="n">
        <f aca="false">D31*I31</f>
        <v>36</v>
      </c>
    </row>
    <row r="32" customFormat="false" ht="15" hidden="false" customHeight="false" outlineLevel="0" collapsed="false">
      <c r="A32" s="2" t="n">
        <v>31</v>
      </c>
      <c r="B32" s="2" t="n">
        <v>12</v>
      </c>
      <c r="C32" s="2" t="s">
        <v>33</v>
      </c>
      <c r="D32" s="2" t="n">
        <v>4</v>
      </c>
      <c r="E32" s="2" t="n">
        <v>4</v>
      </c>
      <c r="F32" s="2" t="n">
        <f aca="false">MAX(E$2:E32)</f>
        <v>4</v>
      </c>
      <c r="G32" s="2" t="str">
        <f aca="false">INDEX(Groups!$B$2:$B$14,F32)</f>
        <v>iii, vii°</v>
      </c>
      <c r="H32" s="2" t="s">
        <v>18</v>
      </c>
      <c r="I32" s="2" t="n">
        <f aca="false">SUMPRODUCT((Groups!$A$2:$A$14&lt;=E32)*Groups!$C$2:$C$14)</f>
        <v>12</v>
      </c>
      <c r="J32" s="2" t="n">
        <f aca="false">D32*I32</f>
        <v>48</v>
      </c>
    </row>
    <row r="33" customFormat="false" ht="15" hidden="false" customHeight="false" outlineLevel="0" collapsed="false">
      <c r="A33" s="2" t="n">
        <v>32</v>
      </c>
      <c r="B33" s="2" t="n">
        <v>12</v>
      </c>
      <c r="C33" s="2" t="s">
        <v>33</v>
      </c>
      <c r="D33" s="2" t="n">
        <v>5</v>
      </c>
      <c r="E33" s="2" t="n">
        <v>4</v>
      </c>
      <c r="F33" s="2" t="n">
        <f aca="false">MAX(E$2:E33)</f>
        <v>4</v>
      </c>
      <c r="G33" s="2" t="str">
        <f aca="false">INDEX(Groups!$B$2:$B$14,F33)</f>
        <v>iii, vii°</v>
      </c>
      <c r="H33" s="2" t="s">
        <v>20</v>
      </c>
      <c r="I33" s="2" t="n">
        <f aca="false">SUMPRODUCT((Groups!$A$2:$A$14&lt;=E33)*Groups!$C$2:$C$14)</f>
        <v>12</v>
      </c>
      <c r="J33" s="2" t="n">
        <f aca="false">D33*I33</f>
        <v>60</v>
      </c>
    </row>
    <row r="34" customFormat="false" ht="15" hidden="false" customHeight="false" outlineLevel="0" collapsed="false">
      <c r="A34" s="2" t="n">
        <v>33</v>
      </c>
      <c r="B34" s="2" t="n">
        <v>12</v>
      </c>
      <c r="C34" s="2" t="s">
        <v>33</v>
      </c>
      <c r="D34" s="2" t="n">
        <v>6</v>
      </c>
      <c r="E34" s="2" t="n">
        <v>4</v>
      </c>
      <c r="F34" s="2" t="n">
        <f aca="false">MAX(E$2:E34)</f>
        <v>4</v>
      </c>
      <c r="G34" s="2" t="str">
        <f aca="false">INDEX(Groups!$B$2:$B$14,F34)</f>
        <v>iii, vii°</v>
      </c>
      <c r="H34" s="2" t="s">
        <v>23</v>
      </c>
      <c r="I34" s="2" t="n">
        <f aca="false">SUMPRODUCT((Groups!$A$2:$A$14&lt;=E34)*Groups!$C$2:$C$14)</f>
        <v>12</v>
      </c>
      <c r="J34" s="2" t="n">
        <f aca="false">D34*I34</f>
        <v>72</v>
      </c>
    </row>
    <row r="35" customFormat="false" ht="15" hidden="false" customHeight="false" outlineLevel="0" collapsed="false">
      <c r="A35" s="2" t="n">
        <v>34</v>
      </c>
      <c r="B35" s="2" t="n">
        <v>12</v>
      </c>
      <c r="C35" s="2" t="s">
        <v>33</v>
      </c>
      <c r="D35" s="2" t="n">
        <v>7</v>
      </c>
      <c r="E35" s="2" t="n">
        <v>4</v>
      </c>
      <c r="F35" s="2" t="n">
        <f aca="false">MAX(E$2:E35)</f>
        <v>4</v>
      </c>
      <c r="G35" s="2" t="str">
        <f aca="false">INDEX(Groups!$B$2:$B$14,F35)</f>
        <v>iii, vii°</v>
      </c>
      <c r="H35" s="2" t="s">
        <v>25</v>
      </c>
      <c r="I35" s="2" t="n">
        <f aca="false">SUMPRODUCT((Groups!$A$2:$A$14&lt;=E35)*Groups!$C$2:$C$14)</f>
        <v>12</v>
      </c>
      <c r="J35" s="2" t="n">
        <f aca="false">D35*I35</f>
        <v>84</v>
      </c>
    </row>
    <row r="36" customFormat="false" ht="15" hidden="false" customHeight="false" outlineLevel="0" collapsed="false">
      <c r="A36" s="2" t="n">
        <v>35</v>
      </c>
      <c r="B36" s="2" t="n">
        <v>12</v>
      </c>
      <c r="C36" s="2" t="s">
        <v>33</v>
      </c>
      <c r="D36" s="2" t="n">
        <v>8</v>
      </c>
      <c r="E36" s="2" t="n">
        <v>4</v>
      </c>
      <c r="F36" s="2" t="n">
        <f aca="false">MAX(E$2:E36)</f>
        <v>4</v>
      </c>
      <c r="G36" s="2" t="str">
        <f aca="false">INDEX(Groups!$B$2:$B$14,F36)</f>
        <v>iii, vii°</v>
      </c>
      <c r="H36" s="2" t="s">
        <v>27</v>
      </c>
      <c r="I36" s="2" t="n">
        <f aca="false">SUMPRODUCT((Groups!$A$2:$A$14&lt;=E36)*Groups!$C$2:$C$14)</f>
        <v>12</v>
      </c>
      <c r="J36" s="2" t="n">
        <f aca="false">D36*I36</f>
        <v>96</v>
      </c>
    </row>
    <row r="37" customFormat="false" ht="15" hidden="false" customHeight="false" outlineLevel="0" collapsed="false">
      <c r="A37" s="2" t="n">
        <v>36</v>
      </c>
      <c r="B37" s="2" t="n">
        <v>12</v>
      </c>
      <c r="C37" s="2" t="s">
        <v>33</v>
      </c>
      <c r="D37" s="2" t="n">
        <v>9</v>
      </c>
      <c r="E37" s="2" t="n">
        <v>4</v>
      </c>
      <c r="F37" s="2" t="n">
        <f aca="false">MAX(E$2:E37)</f>
        <v>4</v>
      </c>
      <c r="G37" s="2" t="str">
        <f aca="false">INDEX(Groups!$B$2:$B$14,F37)</f>
        <v>iii, vii°</v>
      </c>
      <c r="H37" s="2" t="s">
        <v>30</v>
      </c>
      <c r="I37" s="2" t="n">
        <f aca="false">SUMPRODUCT((Groups!$A$2:$A$14&lt;=E37)*Groups!$C$2:$C$14)</f>
        <v>12</v>
      </c>
      <c r="J37" s="2" t="n">
        <f aca="false">D37*I37</f>
        <v>108</v>
      </c>
    </row>
    <row r="38" customFormat="false" ht="15" hidden="false" customHeight="false" outlineLevel="0" collapsed="false">
      <c r="A38" s="2" t="n">
        <v>37</v>
      </c>
      <c r="B38" s="2" t="n">
        <v>12</v>
      </c>
      <c r="C38" s="2" t="s">
        <v>33</v>
      </c>
      <c r="D38" s="2" t="n">
        <v>10</v>
      </c>
      <c r="E38" s="2" t="n">
        <v>4</v>
      </c>
      <c r="F38" s="2" t="n">
        <f aca="false">MAX(E$2:E38)</f>
        <v>4</v>
      </c>
      <c r="G38" s="2" t="str">
        <f aca="false">INDEX(Groups!$B$2:$B$14,F38)</f>
        <v>iii, vii°</v>
      </c>
      <c r="H38" s="2" t="s">
        <v>32</v>
      </c>
      <c r="I38" s="2" t="n">
        <f aca="false">SUMPRODUCT((Groups!$A$2:$A$14&lt;=E38)*Groups!$C$2:$C$14)</f>
        <v>12</v>
      </c>
      <c r="J38" s="2" t="n">
        <f aca="false">D38*I38</f>
        <v>120</v>
      </c>
    </row>
    <row r="39" customFormat="false" ht="15" hidden="false" customHeight="false" outlineLevel="0" collapsed="false">
      <c r="A39" s="2" t="n">
        <v>38</v>
      </c>
      <c r="B39" s="2" t="n">
        <v>13</v>
      </c>
      <c r="C39" s="2" t="s">
        <v>34</v>
      </c>
      <c r="D39" s="2" t="n">
        <v>11</v>
      </c>
      <c r="E39" s="2" t="n">
        <v>1</v>
      </c>
      <c r="F39" s="2" t="n">
        <f aca="false">MAX(E$2:E39)</f>
        <v>4</v>
      </c>
      <c r="G39" s="2" t="str">
        <f aca="false">INDEX(Groups!$B$2:$B$14,F39)</f>
        <v>iii, vii°</v>
      </c>
      <c r="H39" s="2" t="s">
        <v>35</v>
      </c>
      <c r="I39" s="2" t="n">
        <f aca="false">SUMPRODUCT((Groups!$A$2:$A$14&lt;=E39)*Groups!$C$2:$C$14)</f>
        <v>4</v>
      </c>
      <c r="J39" s="2" t="n">
        <f aca="false">D39*I39</f>
        <v>44</v>
      </c>
    </row>
    <row r="40" customFormat="false" ht="15" hidden="false" customHeight="false" outlineLevel="0" collapsed="false">
      <c r="A40" s="2" t="n">
        <v>39</v>
      </c>
      <c r="B40" s="2" t="n">
        <v>13</v>
      </c>
      <c r="C40" s="2" t="s">
        <v>34</v>
      </c>
      <c r="D40" s="2" t="n">
        <v>11</v>
      </c>
      <c r="E40" s="2" t="n">
        <v>2</v>
      </c>
      <c r="F40" s="2" t="n">
        <f aca="false">MAX(E$2:E40)</f>
        <v>4</v>
      </c>
      <c r="G40" s="2" t="str">
        <f aca="false">INDEX(Groups!$B$2:$B$14,F40)</f>
        <v>iii, vii°</v>
      </c>
      <c r="H40" s="2" t="s">
        <v>35</v>
      </c>
      <c r="I40" s="2" t="n">
        <f aca="false">SUMPRODUCT((Groups!$A$2:$A$14&lt;=E40)*Groups!$C$2:$C$14)</f>
        <v>6</v>
      </c>
      <c r="J40" s="2" t="n">
        <f aca="false">D40*I40</f>
        <v>66</v>
      </c>
    </row>
    <row r="41" customFormat="false" ht="15" hidden="false" customHeight="false" outlineLevel="0" collapsed="false">
      <c r="A41" s="2" t="n">
        <v>40</v>
      </c>
      <c r="B41" s="2" t="n">
        <v>13</v>
      </c>
      <c r="C41" s="2" t="s">
        <v>34</v>
      </c>
      <c r="D41" s="2" t="n">
        <v>11</v>
      </c>
      <c r="E41" s="2" t="n">
        <v>3</v>
      </c>
      <c r="F41" s="2" t="n">
        <f aca="false">MAX(E$2:E41)</f>
        <v>4</v>
      </c>
      <c r="G41" s="2" t="str">
        <f aca="false">INDEX(Groups!$B$2:$B$14,F41)</f>
        <v>iii, vii°</v>
      </c>
      <c r="H41" s="2" t="s">
        <v>35</v>
      </c>
      <c r="I41" s="2" t="n">
        <f aca="false">SUMPRODUCT((Groups!$A$2:$A$14&lt;=E41)*Groups!$C$2:$C$14)</f>
        <v>10</v>
      </c>
      <c r="J41" s="2" t="n">
        <f aca="false">D41*I41</f>
        <v>110</v>
      </c>
    </row>
    <row r="42" customFormat="false" ht="15" hidden="false" customHeight="false" outlineLevel="0" collapsed="false">
      <c r="A42" s="2" t="n">
        <v>41</v>
      </c>
      <c r="B42" s="2" t="n">
        <v>13</v>
      </c>
      <c r="C42" s="2" t="s">
        <v>34</v>
      </c>
      <c r="D42" s="2" t="n">
        <v>11</v>
      </c>
      <c r="E42" s="2" t="n">
        <v>4</v>
      </c>
      <c r="F42" s="2" t="n">
        <f aca="false">MAX(E$2:E42)</f>
        <v>4</v>
      </c>
      <c r="G42" s="2" t="str">
        <f aca="false">INDEX(Groups!$B$2:$B$14,F42)</f>
        <v>iii, vii°</v>
      </c>
      <c r="H42" s="2" t="s">
        <v>35</v>
      </c>
      <c r="I42" s="2" t="n">
        <f aca="false">SUMPRODUCT((Groups!$A$2:$A$14&lt;=E42)*Groups!$C$2:$C$14)</f>
        <v>12</v>
      </c>
      <c r="J42" s="2" t="n">
        <f aca="false">D42*I42</f>
        <v>132</v>
      </c>
    </row>
    <row r="43" customFormat="false" ht="15" hidden="false" customHeight="false" outlineLevel="0" collapsed="false">
      <c r="A43" s="2" t="n">
        <v>42</v>
      </c>
      <c r="B43" s="2" t="n">
        <v>14</v>
      </c>
      <c r="C43" s="2" t="s">
        <v>36</v>
      </c>
      <c r="D43" s="2" t="n">
        <v>12</v>
      </c>
      <c r="E43" s="2" t="n">
        <v>1</v>
      </c>
      <c r="F43" s="2" t="n">
        <f aca="false">MAX(E$2:E43)</f>
        <v>4</v>
      </c>
      <c r="G43" s="2" t="str">
        <f aca="false">INDEX(Groups!$B$2:$B$14,F43)</f>
        <v>iii, vii°</v>
      </c>
      <c r="H43" s="2" t="s">
        <v>37</v>
      </c>
      <c r="I43" s="2" t="n">
        <f aca="false">SUMPRODUCT((Groups!$A$2:$A$14&lt;=E43)*Groups!$C$2:$C$14)</f>
        <v>4</v>
      </c>
      <c r="J43" s="2" t="n">
        <f aca="false">D43*I43</f>
        <v>48</v>
      </c>
    </row>
    <row r="44" customFormat="false" ht="15" hidden="false" customHeight="false" outlineLevel="0" collapsed="false">
      <c r="A44" s="2" t="n">
        <v>43</v>
      </c>
      <c r="B44" s="2" t="n">
        <v>14</v>
      </c>
      <c r="C44" s="2" t="s">
        <v>36</v>
      </c>
      <c r="D44" s="2" t="n">
        <v>12</v>
      </c>
      <c r="E44" s="2" t="n">
        <v>2</v>
      </c>
      <c r="F44" s="2" t="n">
        <f aca="false">MAX(E$2:E44)</f>
        <v>4</v>
      </c>
      <c r="G44" s="2" t="str">
        <f aca="false">INDEX(Groups!$B$2:$B$14,F44)</f>
        <v>iii, vii°</v>
      </c>
      <c r="H44" s="2" t="s">
        <v>37</v>
      </c>
      <c r="I44" s="2" t="n">
        <f aca="false">SUMPRODUCT((Groups!$A$2:$A$14&lt;=E44)*Groups!$C$2:$C$14)</f>
        <v>6</v>
      </c>
      <c r="J44" s="2" t="n">
        <f aca="false">D44*I44</f>
        <v>72</v>
      </c>
    </row>
    <row r="45" customFormat="false" ht="15" hidden="false" customHeight="false" outlineLevel="0" collapsed="false">
      <c r="A45" s="2" t="n">
        <v>44</v>
      </c>
      <c r="B45" s="2" t="n">
        <v>14</v>
      </c>
      <c r="C45" s="2" t="s">
        <v>36</v>
      </c>
      <c r="D45" s="2" t="n">
        <v>12</v>
      </c>
      <c r="E45" s="2" t="n">
        <v>3</v>
      </c>
      <c r="F45" s="2" t="n">
        <f aca="false">MAX(E$2:E45)</f>
        <v>4</v>
      </c>
      <c r="G45" s="2" t="str">
        <f aca="false">INDEX(Groups!$B$2:$B$14,F45)</f>
        <v>iii, vii°</v>
      </c>
      <c r="H45" s="2" t="s">
        <v>37</v>
      </c>
      <c r="I45" s="2" t="n">
        <f aca="false">SUMPRODUCT((Groups!$A$2:$A$14&lt;=E45)*Groups!$C$2:$C$14)</f>
        <v>10</v>
      </c>
      <c r="J45" s="2" t="n">
        <f aca="false">D45*I45</f>
        <v>120</v>
      </c>
    </row>
    <row r="46" customFormat="false" ht="15" hidden="false" customHeight="false" outlineLevel="0" collapsed="false">
      <c r="A46" s="2" t="n">
        <v>45</v>
      </c>
      <c r="B46" s="2" t="n">
        <v>14</v>
      </c>
      <c r="C46" s="2" t="s">
        <v>36</v>
      </c>
      <c r="D46" s="2" t="n">
        <v>12</v>
      </c>
      <c r="E46" s="2" t="n">
        <v>4</v>
      </c>
      <c r="F46" s="2" t="n">
        <f aca="false">MAX(E$2:E46)</f>
        <v>4</v>
      </c>
      <c r="G46" s="2" t="str">
        <f aca="false">INDEX(Groups!$B$2:$B$14,F46)</f>
        <v>iii, vii°</v>
      </c>
      <c r="H46" s="2" t="s">
        <v>37</v>
      </c>
      <c r="I46" s="2" t="n">
        <f aca="false">SUMPRODUCT((Groups!$A$2:$A$14&lt;=E46)*Groups!$C$2:$C$14)</f>
        <v>12</v>
      </c>
      <c r="J46" s="2" t="n">
        <f aca="false">D46*I46</f>
        <v>144</v>
      </c>
    </row>
    <row r="47" customFormat="false" ht="15" hidden="false" customHeight="false" outlineLevel="0" collapsed="false">
      <c r="A47" s="2" t="n">
        <v>46</v>
      </c>
      <c r="B47" s="2" t="n">
        <v>15</v>
      </c>
      <c r="C47" s="2" t="s">
        <v>38</v>
      </c>
      <c r="D47" s="2" t="n">
        <v>2</v>
      </c>
      <c r="E47" s="2" t="n">
        <v>5</v>
      </c>
      <c r="F47" s="2" t="n">
        <f aca="false">MAX(E$2:E47)</f>
        <v>5</v>
      </c>
      <c r="G47" s="2" t="str">
        <f aca="false">INDEX(Groups!$B$2:$B$14,F47)</f>
        <v>iii7, vii°7</v>
      </c>
      <c r="H47" s="2" t="s">
        <v>14</v>
      </c>
      <c r="I47" s="2" t="n">
        <f aca="false">SUMPRODUCT((Groups!$A$2:$A$14&lt;=E47)*Groups!$C$2:$C$14)</f>
        <v>14</v>
      </c>
      <c r="J47" s="2" t="n">
        <f aca="false">D47*I47</f>
        <v>28</v>
      </c>
    </row>
    <row r="48" customFormat="false" ht="15" hidden="false" customHeight="false" outlineLevel="0" collapsed="false">
      <c r="A48" s="2" t="n">
        <v>47</v>
      </c>
      <c r="B48" s="2" t="n">
        <v>15</v>
      </c>
      <c r="C48" s="2" t="s">
        <v>38</v>
      </c>
      <c r="D48" s="2" t="n">
        <v>3</v>
      </c>
      <c r="E48" s="2" t="n">
        <v>5</v>
      </c>
      <c r="F48" s="2" t="n">
        <f aca="false">MAX(E$2:E48)</f>
        <v>5</v>
      </c>
      <c r="G48" s="2" t="str">
        <f aca="false">INDEX(Groups!$B$2:$B$14,F48)</f>
        <v>iii7, vii°7</v>
      </c>
      <c r="H48" s="2" t="s">
        <v>16</v>
      </c>
      <c r="I48" s="2" t="n">
        <f aca="false">SUMPRODUCT((Groups!$A$2:$A$14&lt;=E48)*Groups!$C$2:$C$14)</f>
        <v>14</v>
      </c>
      <c r="J48" s="2" t="n">
        <f aca="false">D48*I48</f>
        <v>42</v>
      </c>
    </row>
    <row r="49" customFormat="false" ht="15" hidden="false" customHeight="false" outlineLevel="0" collapsed="false">
      <c r="A49" s="2" t="n">
        <v>48</v>
      </c>
      <c r="B49" s="2" t="n">
        <v>15</v>
      </c>
      <c r="C49" s="2" t="s">
        <v>38</v>
      </c>
      <c r="D49" s="2" t="n">
        <v>4</v>
      </c>
      <c r="E49" s="2" t="n">
        <v>5</v>
      </c>
      <c r="F49" s="2" t="n">
        <f aca="false">MAX(E$2:E49)</f>
        <v>5</v>
      </c>
      <c r="G49" s="2" t="str">
        <f aca="false">INDEX(Groups!$B$2:$B$14,F49)</f>
        <v>iii7, vii°7</v>
      </c>
      <c r="H49" s="2" t="s">
        <v>18</v>
      </c>
      <c r="I49" s="2" t="n">
        <f aca="false">SUMPRODUCT((Groups!$A$2:$A$14&lt;=E49)*Groups!$C$2:$C$14)</f>
        <v>14</v>
      </c>
      <c r="J49" s="2" t="n">
        <f aca="false">D49*I49</f>
        <v>56</v>
      </c>
    </row>
    <row r="50" customFormat="false" ht="15" hidden="false" customHeight="false" outlineLevel="0" collapsed="false">
      <c r="A50" s="2" t="n">
        <v>49</v>
      </c>
      <c r="B50" s="2" t="n">
        <v>15</v>
      </c>
      <c r="C50" s="2" t="s">
        <v>38</v>
      </c>
      <c r="D50" s="2" t="n">
        <v>5</v>
      </c>
      <c r="E50" s="2" t="n">
        <v>5</v>
      </c>
      <c r="F50" s="2" t="n">
        <f aca="false">MAX(E$2:E50)</f>
        <v>5</v>
      </c>
      <c r="G50" s="2" t="str">
        <f aca="false">INDEX(Groups!$B$2:$B$14,F50)</f>
        <v>iii7, vii°7</v>
      </c>
      <c r="H50" s="2" t="s">
        <v>20</v>
      </c>
      <c r="I50" s="2" t="n">
        <f aca="false">SUMPRODUCT((Groups!$A$2:$A$14&lt;=E50)*Groups!$C$2:$C$14)</f>
        <v>14</v>
      </c>
      <c r="J50" s="2" t="n">
        <f aca="false">D50*I50</f>
        <v>70</v>
      </c>
    </row>
    <row r="51" customFormat="false" ht="15" hidden="false" customHeight="false" outlineLevel="0" collapsed="false">
      <c r="A51" s="2" t="n">
        <v>50</v>
      </c>
      <c r="B51" s="2" t="n">
        <v>15</v>
      </c>
      <c r="C51" s="2" t="s">
        <v>38</v>
      </c>
      <c r="D51" s="2" t="n">
        <v>6</v>
      </c>
      <c r="E51" s="2" t="n">
        <v>5</v>
      </c>
      <c r="F51" s="2" t="n">
        <f aca="false">MAX(E$2:E51)</f>
        <v>5</v>
      </c>
      <c r="G51" s="2" t="str">
        <f aca="false">INDEX(Groups!$B$2:$B$14,F51)</f>
        <v>iii7, vii°7</v>
      </c>
      <c r="H51" s="2" t="s">
        <v>23</v>
      </c>
      <c r="I51" s="2" t="n">
        <f aca="false">SUMPRODUCT((Groups!$A$2:$A$14&lt;=E51)*Groups!$C$2:$C$14)</f>
        <v>14</v>
      </c>
      <c r="J51" s="2" t="n">
        <f aca="false">D51*I51</f>
        <v>84</v>
      </c>
    </row>
    <row r="52" customFormat="false" ht="15" hidden="false" customHeight="false" outlineLevel="0" collapsed="false">
      <c r="A52" s="2" t="n">
        <v>51</v>
      </c>
      <c r="B52" s="2" t="n">
        <v>15</v>
      </c>
      <c r="C52" s="2" t="s">
        <v>38</v>
      </c>
      <c r="D52" s="2" t="n">
        <v>7</v>
      </c>
      <c r="E52" s="2" t="n">
        <v>5</v>
      </c>
      <c r="F52" s="2" t="n">
        <f aca="false">MAX(E$2:E52)</f>
        <v>5</v>
      </c>
      <c r="G52" s="2" t="str">
        <f aca="false">INDEX(Groups!$B$2:$B$14,F52)</f>
        <v>iii7, vii°7</v>
      </c>
      <c r="H52" s="2" t="s">
        <v>25</v>
      </c>
      <c r="I52" s="2" t="n">
        <f aca="false">SUMPRODUCT((Groups!$A$2:$A$14&lt;=E52)*Groups!$C$2:$C$14)</f>
        <v>14</v>
      </c>
      <c r="J52" s="2" t="n">
        <f aca="false">D52*I52</f>
        <v>98</v>
      </c>
    </row>
    <row r="53" customFormat="false" ht="15" hidden="false" customHeight="false" outlineLevel="0" collapsed="false">
      <c r="A53" s="2" t="n">
        <v>52</v>
      </c>
      <c r="B53" s="2" t="n">
        <v>15</v>
      </c>
      <c r="C53" s="2" t="s">
        <v>38</v>
      </c>
      <c r="D53" s="2" t="n">
        <v>8</v>
      </c>
      <c r="E53" s="2" t="n">
        <v>5</v>
      </c>
      <c r="F53" s="2" t="n">
        <f aca="false">MAX(E$2:E53)</f>
        <v>5</v>
      </c>
      <c r="G53" s="2" t="str">
        <f aca="false">INDEX(Groups!$B$2:$B$14,F53)</f>
        <v>iii7, vii°7</v>
      </c>
      <c r="H53" s="2" t="s">
        <v>27</v>
      </c>
      <c r="I53" s="2" t="n">
        <f aca="false">SUMPRODUCT((Groups!$A$2:$A$14&lt;=E53)*Groups!$C$2:$C$14)</f>
        <v>14</v>
      </c>
      <c r="J53" s="2" t="n">
        <f aca="false">D53*I53</f>
        <v>112</v>
      </c>
    </row>
    <row r="54" customFormat="false" ht="15" hidden="false" customHeight="false" outlineLevel="0" collapsed="false">
      <c r="A54" s="2" t="n">
        <v>53</v>
      </c>
      <c r="B54" s="2" t="n">
        <v>15</v>
      </c>
      <c r="C54" s="2" t="s">
        <v>38</v>
      </c>
      <c r="D54" s="2" t="n">
        <v>9</v>
      </c>
      <c r="E54" s="2" t="n">
        <v>5</v>
      </c>
      <c r="F54" s="2" t="n">
        <f aca="false">MAX(E$2:E54)</f>
        <v>5</v>
      </c>
      <c r="G54" s="2" t="str">
        <f aca="false">INDEX(Groups!$B$2:$B$14,F54)</f>
        <v>iii7, vii°7</v>
      </c>
      <c r="H54" s="2" t="s">
        <v>30</v>
      </c>
      <c r="I54" s="2" t="n">
        <f aca="false">SUMPRODUCT((Groups!$A$2:$A$14&lt;=E54)*Groups!$C$2:$C$14)</f>
        <v>14</v>
      </c>
      <c r="J54" s="2" t="n">
        <f aca="false">D54*I54</f>
        <v>126</v>
      </c>
    </row>
    <row r="55" customFormat="false" ht="15" hidden="false" customHeight="false" outlineLevel="0" collapsed="false">
      <c r="A55" s="2" t="n">
        <v>54</v>
      </c>
      <c r="B55" s="2" t="n">
        <v>15</v>
      </c>
      <c r="C55" s="2" t="s">
        <v>38</v>
      </c>
      <c r="D55" s="2" t="n">
        <v>10</v>
      </c>
      <c r="E55" s="2" t="n">
        <v>5</v>
      </c>
      <c r="F55" s="2" t="n">
        <f aca="false">MAX(E$2:E55)</f>
        <v>5</v>
      </c>
      <c r="G55" s="2" t="str">
        <f aca="false">INDEX(Groups!$B$2:$B$14,F55)</f>
        <v>iii7, vii°7</v>
      </c>
      <c r="H55" s="2" t="s">
        <v>32</v>
      </c>
      <c r="I55" s="2" t="n">
        <f aca="false">SUMPRODUCT((Groups!$A$2:$A$14&lt;=E55)*Groups!$C$2:$C$14)</f>
        <v>14</v>
      </c>
      <c r="J55" s="2" t="n">
        <f aca="false">D55*I55</f>
        <v>140</v>
      </c>
    </row>
    <row r="56" customFormat="false" ht="15" hidden="false" customHeight="false" outlineLevel="0" collapsed="false">
      <c r="A56" s="2" t="n">
        <v>55</v>
      </c>
      <c r="B56" s="2" t="n">
        <v>15</v>
      </c>
      <c r="C56" s="2" t="s">
        <v>38</v>
      </c>
      <c r="D56" s="2" t="n">
        <v>11</v>
      </c>
      <c r="E56" s="2" t="n">
        <v>5</v>
      </c>
      <c r="F56" s="2" t="n">
        <f aca="false">MAX(E$2:E56)</f>
        <v>5</v>
      </c>
      <c r="G56" s="2" t="str">
        <f aca="false">INDEX(Groups!$B$2:$B$14,F56)</f>
        <v>iii7, vii°7</v>
      </c>
      <c r="H56" s="2" t="s">
        <v>35</v>
      </c>
      <c r="I56" s="2" t="n">
        <f aca="false">SUMPRODUCT((Groups!$A$2:$A$14&lt;=E56)*Groups!$C$2:$C$14)</f>
        <v>14</v>
      </c>
      <c r="J56" s="2" t="n">
        <f aca="false">D56*I56</f>
        <v>154</v>
      </c>
    </row>
    <row r="57" customFormat="false" ht="15" hidden="false" customHeight="false" outlineLevel="0" collapsed="false">
      <c r="A57" s="2" t="n">
        <v>56</v>
      </c>
      <c r="B57" s="2" t="n">
        <v>15</v>
      </c>
      <c r="C57" s="2" t="s">
        <v>38</v>
      </c>
      <c r="D57" s="2" t="n">
        <v>12</v>
      </c>
      <c r="E57" s="2" t="n">
        <v>5</v>
      </c>
      <c r="F57" s="2" t="n">
        <f aca="false">MAX(E$2:E57)</f>
        <v>5</v>
      </c>
      <c r="G57" s="2" t="str">
        <f aca="false">INDEX(Groups!$B$2:$B$14,F57)</f>
        <v>iii7, vii°7</v>
      </c>
      <c r="H57" s="2" t="s">
        <v>37</v>
      </c>
      <c r="I57" s="2" t="n">
        <f aca="false">SUMPRODUCT((Groups!$A$2:$A$14&lt;=E57)*Groups!$C$2:$C$14)</f>
        <v>14</v>
      </c>
      <c r="J57" s="2" t="n">
        <f aca="false">D57*I57</f>
        <v>168</v>
      </c>
    </row>
    <row r="58" customFormat="false" ht="15" hidden="false" customHeight="false" outlineLevel="0" collapsed="false">
      <c r="A58" s="2" t="n">
        <v>57</v>
      </c>
      <c r="B58" s="2" t="n">
        <v>16</v>
      </c>
      <c r="C58" s="2" t="s">
        <v>39</v>
      </c>
      <c r="D58" s="2" t="n">
        <v>2</v>
      </c>
      <c r="E58" s="2" t="n">
        <v>6</v>
      </c>
      <c r="F58" s="2" t="n">
        <f aca="false">MAX(E$2:E58)</f>
        <v>6</v>
      </c>
      <c r="G58" s="2" t="str">
        <f aca="false">INDEX(Groups!$B$2:$B$14,F58)</f>
        <v>sus4: I, V, IV</v>
      </c>
      <c r="H58" s="2" t="s">
        <v>14</v>
      </c>
      <c r="I58" s="2" t="n">
        <f aca="false">SUMPRODUCT((Groups!$A$2:$A$14&lt;=E58)*Groups!$C$2:$C$14)</f>
        <v>17</v>
      </c>
      <c r="J58" s="2" t="n">
        <f aca="false">D58*I58</f>
        <v>34</v>
      </c>
    </row>
    <row r="59" customFormat="false" ht="15" hidden="false" customHeight="false" outlineLevel="0" collapsed="false">
      <c r="A59" s="2" t="n">
        <v>58</v>
      </c>
      <c r="B59" s="2" t="n">
        <v>16</v>
      </c>
      <c r="C59" s="2" t="s">
        <v>39</v>
      </c>
      <c r="D59" s="2" t="n">
        <v>3</v>
      </c>
      <c r="E59" s="2" t="n">
        <v>6</v>
      </c>
      <c r="F59" s="2" t="n">
        <f aca="false">MAX(E$2:E59)</f>
        <v>6</v>
      </c>
      <c r="G59" s="2" t="str">
        <f aca="false">INDEX(Groups!$B$2:$B$14,F59)</f>
        <v>sus4: I, V, IV</v>
      </c>
      <c r="H59" s="2" t="s">
        <v>16</v>
      </c>
      <c r="I59" s="2" t="n">
        <f aca="false">SUMPRODUCT((Groups!$A$2:$A$14&lt;=E59)*Groups!$C$2:$C$14)</f>
        <v>17</v>
      </c>
      <c r="J59" s="2" t="n">
        <f aca="false">D59*I59</f>
        <v>51</v>
      </c>
    </row>
    <row r="60" customFormat="false" ht="15" hidden="false" customHeight="false" outlineLevel="0" collapsed="false">
      <c r="A60" s="2" t="n">
        <v>59</v>
      </c>
      <c r="B60" s="2" t="n">
        <v>16</v>
      </c>
      <c r="C60" s="2" t="s">
        <v>39</v>
      </c>
      <c r="D60" s="2" t="n">
        <v>4</v>
      </c>
      <c r="E60" s="2" t="n">
        <v>6</v>
      </c>
      <c r="F60" s="2" t="n">
        <f aca="false">MAX(E$2:E60)</f>
        <v>6</v>
      </c>
      <c r="G60" s="2" t="str">
        <f aca="false">INDEX(Groups!$B$2:$B$14,F60)</f>
        <v>sus4: I, V, IV</v>
      </c>
      <c r="H60" s="2" t="s">
        <v>18</v>
      </c>
      <c r="I60" s="2" t="n">
        <f aca="false">SUMPRODUCT((Groups!$A$2:$A$14&lt;=E60)*Groups!$C$2:$C$14)</f>
        <v>17</v>
      </c>
      <c r="J60" s="2" t="n">
        <f aca="false">D60*I60</f>
        <v>68</v>
      </c>
    </row>
    <row r="61" customFormat="false" ht="15" hidden="false" customHeight="false" outlineLevel="0" collapsed="false">
      <c r="A61" s="2" t="n">
        <v>60</v>
      </c>
      <c r="B61" s="2" t="n">
        <v>16</v>
      </c>
      <c r="C61" s="2" t="s">
        <v>39</v>
      </c>
      <c r="D61" s="2" t="n">
        <v>5</v>
      </c>
      <c r="E61" s="2" t="n">
        <v>6</v>
      </c>
      <c r="F61" s="2" t="n">
        <f aca="false">MAX(E$2:E61)</f>
        <v>6</v>
      </c>
      <c r="G61" s="2" t="str">
        <f aca="false">INDEX(Groups!$B$2:$B$14,F61)</f>
        <v>sus4: I, V, IV</v>
      </c>
      <c r="H61" s="2" t="s">
        <v>20</v>
      </c>
      <c r="I61" s="2" t="n">
        <f aca="false">SUMPRODUCT((Groups!$A$2:$A$14&lt;=E61)*Groups!$C$2:$C$14)</f>
        <v>17</v>
      </c>
      <c r="J61" s="2" t="n">
        <f aca="false">D61*I61</f>
        <v>85</v>
      </c>
    </row>
    <row r="62" customFormat="false" ht="15" hidden="false" customHeight="false" outlineLevel="0" collapsed="false">
      <c r="A62" s="2" t="n">
        <v>61</v>
      </c>
      <c r="B62" s="2" t="n">
        <v>16</v>
      </c>
      <c r="C62" s="2" t="s">
        <v>39</v>
      </c>
      <c r="D62" s="2" t="n">
        <v>6</v>
      </c>
      <c r="E62" s="2" t="n">
        <v>6</v>
      </c>
      <c r="F62" s="2" t="n">
        <f aca="false">MAX(E$2:E62)</f>
        <v>6</v>
      </c>
      <c r="G62" s="2" t="str">
        <f aca="false">INDEX(Groups!$B$2:$B$14,F62)</f>
        <v>sus4: I, V, IV</v>
      </c>
      <c r="H62" s="2" t="s">
        <v>23</v>
      </c>
      <c r="I62" s="2" t="n">
        <f aca="false">SUMPRODUCT((Groups!$A$2:$A$14&lt;=E62)*Groups!$C$2:$C$14)</f>
        <v>17</v>
      </c>
      <c r="J62" s="2" t="n">
        <f aca="false">D62*I62</f>
        <v>102</v>
      </c>
    </row>
    <row r="63" customFormat="false" ht="15" hidden="false" customHeight="false" outlineLevel="0" collapsed="false">
      <c r="A63" s="2" t="n">
        <v>62</v>
      </c>
      <c r="B63" s="2" t="n">
        <v>16</v>
      </c>
      <c r="C63" s="2" t="s">
        <v>39</v>
      </c>
      <c r="D63" s="2" t="n">
        <v>7</v>
      </c>
      <c r="E63" s="2" t="n">
        <v>6</v>
      </c>
      <c r="F63" s="2" t="n">
        <f aca="false">MAX(E$2:E63)</f>
        <v>6</v>
      </c>
      <c r="G63" s="2" t="str">
        <f aca="false">INDEX(Groups!$B$2:$B$14,F63)</f>
        <v>sus4: I, V, IV</v>
      </c>
      <c r="H63" s="2" t="s">
        <v>25</v>
      </c>
      <c r="I63" s="2" t="n">
        <f aca="false">SUMPRODUCT((Groups!$A$2:$A$14&lt;=E63)*Groups!$C$2:$C$14)</f>
        <v>17</v>
      </c>
      <c r="J63" s="2" t="n">
        <f aca="false">D63*I63</f>
        <v>119</v>
      </c>
    </row>
    <row r="64" customFormat="false" ht="15" hidden="false" customHeight="false" outlineLevel="0" collapsed="false">
      <c r="A64" s="2" t="n">
        <v>63</v>
      </c>
      <c r="B64" s="2" t="n">
        <v>16</v>
      </c>
      <c r="C64" s="2" t="s">
        <v>39</v>
      </c>
      <c r="D64" s="2" t="n">
        <v>8</v>
      </c>
      <c r="E64" s="2" t="n">
        <v>6</v>
      </c>
      <c r="F64" s="2" t="n">
        <f aca="false">MAX(E$2:E64)</f>
        <v>6</v>
      </c>
      <c r="G64" s="2" t="str">
        <f aca="false">INDEX(Groups!$B$2:$B$14,F64)</f>
        <v>sus4: I, V, IV</v>
      </c>
      <c r="H64" s="2" t="s">
        <v>27</v>
      </c>
      <c r="I64" s="2" t="n">
        <f aca="false">SUMPRODUCT((Groups!$A$2:$A$14&lt;=E64)*Groups!$C$2:$C$14)</f>
        <v>17</v>
      </c>
      <c r="J64" s="2" t="n">
        <f aca="false">D64*I64</f>
        <v>136</v>
      </c>
    </row>
    <row r="65" customFormat="false" ht="15" hidden="false" customHeight="false" outlineLevel="0" collapsed="false">
      <c r="A65" s="2" t="n">
        <v>64</v>
      </c>
      <c r="B65" s="2" t="n">
        <v>16</v>
      </c>
      <c r="C65" s="2" t="s">
        <v>39</v>
      </c>
      <c r="D65" s="2" t="n">
        <v>9</v>
      </c>
      <c r="E65" s="2" t="n">
        <v>6</v>
      </c>
      <c r="F65" s="2" t="n">
        <f aca="false">MAX(E$2:E65)</f>
        <v>6</v>
      </c>
      <c r="G65" s="2" t="str">
        <f aca="false">INDEX(Groups!$B$2:$B$14,F65)</f>
        <v>sus4: I, V, IV</v>
      </c>
      <c r="H65" s="2" t="s">
        <v>30</v>
      </c>
      <c r="I65" s="2" t="n">
        <f aca="false">SUMPRODUCT((Groups!$A$2:$A$14&lt;=E65)*Groups!$C$2:$C$14)</f>
        <v>17</v>
      </c>
      <c r="J65" s="2" t="n">
        <f aca="false">D65*I65</f>
        <v>153</v>
      </c>
    </row>
    <row r="66" customFormat="false" ht="15" hidden="false" customHeight="false" outlineLevel="0" collapsed="false">
      <c r="A66" s="2" t="n">
        <v>65</v>
      </c>
      <c r="B66" s="2" t="n">
        <v>16</v>
      </c>
      <c r="C66" s="2" t="s">
        <v>39</v>
      </c>
      <c r="D66" s="2" t="n">
        <v>10</v>
      </c>
      <c r="E66" s="2" t="n">
        <v>6</v>
      </c>
      <c r="F66" s="2" t="n">
        <f aca="false">MAX(E$2:E66)</f>
        <v>6</v>
      </c>
      <c r="G66" s="2" t="str">
        <f aca="false">INDEX(Groups!$B$2:$B$14,F66)</f>
        <v>sus4: I, V, IV</v>
      </c>
      <c r="H66" s="2" t="s">
        <v>32</v>
      </c>
      <c r="I66" s="2" t="n">
        <f aca="false">SUMPRODUCT((Groups!$A$2:$A$14&lt;=E66)*Groups!$C$2:$C$14)</f>
        <v>17</v>
      </c>
      <c r="J66" s="2" t="n">
        <f aca="false">D66*I66</f>
        <v>170</v>
      </c>
    </row>
    <row r="67" customFormat="false" ht="15" hidden="false" customHeight="false" outlineLevel="0" collapsed="false">
      <c r="A67" s="2" t="n">
        <v>66</v>
      </c>
      <c r="B67" s="2" t="n">
        <v>16</v>
      </c>
      <c r="C67" s="2" t="s">
        <v>39</v>
      </c>
      <c r="D67" s="2" t="n">
        <v>11</v>
      </c>
      <c r="E67" s="2" t="n">
        <v>6</v>
      </c>
      <c r="F67" s="2" t="n">
        <f aca="false">MAX(E$2:E67)</f>
        <v>6</v>
      </c>
      <c r="G67" s="2" t="str">
        <f aca="false">INDEX(Groups!$B$2:$B$14,F67)</f>
        <v>sus4: I, V, IV</v>
      </c>
      <c r="H67" s="2" t="s">
        <v>35</v>
      </c>
      <c r="I67" s="2" t="n">
        <f aca="false">SUMPRODUCT((Groups!$A$2:$A$14&lt;=E67)*Groups!$C$2:$C$14)</f>
        <v>17</v>
      </c>
      <c r="J67" s="2" t="n">
        <f aca="false">D67*I67</f>
        <v>187</v>
      </c>
    </row>
    <row r="68" customFormat="false" ht="15" hidden="false" customHeight="false" outlineLevel="0" collapsed="false">
      <c r="A68" s="2" t="n">
        <v>67</v>
      </c>
      <c r="B68" s="2" t="n">
        <v>16</v>
      </c>
      <c r="C68" s="2" t="s">
        <v>39</v>
      </c>
      <c r="D68" s="2" t="n">
        <v>12</v>
      </c>
      <c r="E68" s="2" t="n">
        <v>6</v>
      </c>
      <c r="F68" s="2" t="n">
        <f aca="false">MAX(E$2:E68)</f>
        <v>6</v>
      </c>
      <c r="G68" s="2" t="str">
        <f aca="false">INDEX(Groups!$B$2:$B$14,F68)</f>
        <v>sus4: I, V, IV</v>
      </c>
      <c r="H68" s="2" t="s">
        <v>37</v>
      </c>
      <c r="I68" s="2" t="n">
        <f aca="false">SUMPRODUCT((Groups!$A$2:$A$14&lt;=E68)*Groups!$C$2:$C$14)</f>
        <v>17</v>
      </c>
      <c r="J68" s="2" t="n">
        <f aca="false">D68*I68</f>
        <v>204</v>
      </c>
    </row>
    <row r="69" customFormat="false" ht="15" hidden="false" customHeight="false" outlineLevel="0" collapsed="false">
      <c r="A69" s="2" t="n">
        <v>68</v>
      </c>
      <c r="B69" s="2" t="n">
        <v>17</v>
      </c>
      <c r="C69" s="2" t="s">
        <v>40</v>
      </c>
      <c r="D69" s="2" t="n">
        <v>2</v>
      </c>
      <c r="E69" s="2" t="n">
        <v>7</v>
      </c>
      <c r="F69" s="2" t="n">
        <f aca="false">MAX(E$2:E69)</f>
        <v>7</v>
      </c>
      <c r="G69" s="2" t="str">
        <f aca="false">INDEX(Groups!$B$2:$B$14,F69)</f>
        <v>sus4: vi, ii, iii, vii°</v>
      </c>
      <c r="H69" s="2" t="s">
        <v>14</v>
      </c>
      <c r="I69" s="2" t="n">
        <f aca="false">SUMPRODUCT((Groups!$A$2:$A$14&lt;=E69)*Groups!$C$2:$C$14)</f>
        <v>21</v>
      </c>
      <c r="J69" s="2" t="n">
        <f aca="false">D69*I69</f>
        <v>42</v>
      </c>
    </row>
    <row r="70" customFormat="false" ht="15" hidden="false" customHeight="false" outlineLevel="0" collapsed="false">
      <c r="A70" s="2" t="n">
        <v>69</v>
      </c>
      <c r="B70" s="2" t="n">
        <v>17</v>
      </c>
      <c r="C70" s="2" t="s">
        <v>40</v>
      </c>
      <c r="D70" s="2" t="n">
        <v>3</v>
      </c>
      <c r="E70" s="2" t="n">
        <v>7</v>
      </c>
      <c r="F70" s="2" t="n">
        <f aca="false">MAX(E$2:E70)</f>
        <v>7</v>
      </c>
      <c r="G70" s="2" t="str">
        <f aca="false">INDEX(Groups!$B$2:$B$14,F70)</f>
        <v>sus4: vi, ii, iii, vii°</v>
      </c>
      <c r="H70" s="2" t="s">
        <v>16</v>
      </c>
      <c r="I70" s="2" t="n">
        <f aca="false">SUMPRODUCT((Groups!$A$2:$A$14&lt;=E70)*Groups!$C$2:$C$14)</f>
        <v>21</v>
      </c>
      <c r="J70" s="2" t="n">
        <f aca="false">D70*I70</f>
        <v>63</v>
      </c>
    </row>
    <row r="71" customFormat="false" ht="15" hidden="false" customHeight="false" outlineLevel="0" collapsed="false">
      <c r="A71" s="2" t="n">
        <v>70</v>
      </c>
      <c r="B71" s="2" t="n">
        <v>17</v>
      </c>
      <c r="C71" s="2" t="s">
        <v>40</v>
      </c>
      <c r="D71" s="2" t="n">
        <v>4</v>
      </c>
      <c r="E71" s="2" t="n">
        <v>7</v>
      </c>
      <c r="F71" s="2" t="n">
        <f aca="false">MAX(E$2:E71)</f>
        <v>7</v>
      </c>
      <c r="G71" s="2" t="str">
        <f aca="false">INDEX(Groups!$B$2:$B$14,F71)</f>
        <v>sus4: vi, ii, iii, vii°</v>
      </c>
      <c r="H71" s="2" t="s">
        <v>18</v>
      </c>
      <c r="I71" s="2" t="n">
        <f aca="false">SUMPRODUCT((Groups!$A$2:$A$14&lt;=E71)*Groups!$C$2:$C$14)</f>
        <v>21</v>
      </c>
      <c r="J71" s="2" t="n">
        <f aca="false">D71*I71</f>
        <v>84</v>
      </c>
    </row>
    <row r="72" customFormat="false" ht="15" hidden="false" customHeight="false" outlineLevel="0" collapsed="false">
      <c r="A72" s="2" t="n">
        <v>71</v>
      </c>
      <c r="B72" s="2" t="n">
        <v>17</v>
      </c>
      <c r="C72" s="2" t="s">
        <v>40</v>
      </c>
      <c r="D72" s="2" t="n">
        <v>5</v>
      </c>
      <c r="E72" s="2" t="n">
        <v>7</v>
      </c>
      <c r="F72" s="2" t="n">
        <f aca="false">MAX(E$2:E72)</f>
        <v>7</v>
      </c>
      <c r="G72" s="2" t="str">
        <f aca="false">INDEX(Groups!$B$2:$B$14,F72)</f>
        <v>sus4: vi, ii, iii, vii°</v>
      </c>
      <c r="H72" s="2" t="s">
        <v>20</v>
      </c>
      <c r="I72" s="2" t="n">
        <f aca="false">SUMPRODUCT((Groups!$A$2:$A$14&lt;=E72)*Groups!$C$2:$C$14)</f>
        <v>21</v>
      </c>
      <c r="J72" s="2" t="n">
        <f aca="false">D72*I72</f>
        <v>105</v>
      </c>
    </row>
    <row r="73" customFormat="false" ht="15" hidden="false" customHeight="false" outlineLevel="0" collapsed="false">
      <c r="A73" s="2" t="n">
        <v>72</v>
      </c>
      <c r="B73" s="2" t="n">
        <v>17</v>
      </c>
      <c r="C73" s="2" t="s">
        <v>40</v>
      </c>
      <c r="D73" s="2" t="n">
        <v>6</v>
      </c>
      <c r="E73" s="2" t="n">
        <v>7</v>
      </c>
      <c r="F73" s="2" t="n">
        <f aca="false">MAX(E$2:E73)</f>
        <v>7</v>
      </c>
      <c r="G73" s="2" t="str">
        <f aca="false">INDEX(Groups!$B$2:$B$14,F73)</f>
        <v>sus4: vi, ii, iii, vii°</v>
      </c>
      <c r="H73" s="2" t="s">
        <v>23</v>
      </c>
      <c r="I73" s="2" t="n">
        <f aca="false">SUMPRODUCT((Groups!$A$2:$A$14&lt;=E73)*Groups!$C$2:$C$14)</f>
        <v>21</v>
      </c>
      <c r="J73" s="2" t="n">
        <f aca="false">D73*I73</f>
        <v>126</v>
      </c>
    </row>
    <row r="74" customFormat="false" ht="15" hidden="false" customHeight="false" outlineLevel="0" collapsed="false">
      <c r="A74" s="2" t="n">
        <v>73</v>
      </c>
      <c r="B74" s="2" t="n">
        <v>17</v>
      </c>
      <c r="C74" s="2" t="s">
        <v>40</v>
      </c>
      <c r="D74" s="2" t="n">
        <v>7</v>
      </c>
      <c r="E74" s="2" t="n">
        <v>7</v>
      </c>
      <c r="F74" s="2" t="n">
        <f aca="false">MAX(E$2:E74)</f>
        <v>7</v>
      </c>
      <c r="G74" s="2" t="str">
        <f aca="false">INDEX(Groups!$B$2:$B$14,F74)</f>
        <v>sus4: vi, ii, iii, vii°</v>
      </c>
      <c r="H74" s="2" t="s">
        <v>25</v>
      </c>
      <c r="I74" s="2" t="n">
        <f aca="false">SUMPRODUCT((Groups!$A$2:$A$14&lt;=E74)*Groups!$C$2:$C$14)</f>
        <v>21</v>
      </c>
      <c r="J74" s="2" t="n">
        <f aca="false">D74*I74</f>
        <v>147</v>
      </c>
    </row>
    <row r="75" customFormat="false" ht="15" hidden="false" customHeight="false" outlineLevel="0" collapsed="false">
      <c r="A75" s="2" t="n">
        <v>74</v>
      </c>
      <c r="B75" s="2" t="n">
        <v>17</v>
      </c>
      <c r="C75" s="2" t="s">
        <v>40</v>
      </c>
      <c r="D75" s="2" t="n">
        <v>8</v>
      </c>
      <c r="E75" s="2" t="n">
        <v>7</v>
      </c>
      <c r="F75" s="2" t="n">
        <f aca="false">MAX(E$2:E75)</f>
        <v>7</v>
      </c>
      <c r="G75" s="2" t="str">
        <f aca="false">INDEX(Groups!$B$2:$B$14,F75)</f>
        <v>sus4: vi, ii, iii, vii°</v>
      </c>
      <c r="H75" s="2" t="s">
        <v>27</v>
      </c>
      <c r="I75" s="2" t="n">
        <f aca="false">SUMPRODUCT((Groups!$A$2:$A$14&lt;=E75)*Groups!$C$2:$C$14)</f>
        <v>21</v>
      </c>
      <c r="J75" s="2" t="n">
        <f aca="false">D75*I75</f>
        <v>168</v>
      </c>
    </row>
    <row r="76" customFormat="false" ht="15" hidden="false" customHeight="false" outlineLevel="0" collapsed="false">
      <c r="A76" s="2" t="n">
        <v>75</v>
      </c>
      <c r="B76" s="2" t="n">
        <v>17</v>
      </c>
      <c r="C76" s="2" t="s">
        <v>40</v>
      </c>
      <c r="D76" s="2" t="n">
        <v>9</v>
      </c>
      <c r="E76" s="2" t="n">
        <v>7</v>
      </c>
      <c r="F76" s="2" t="n">
        <f aca="false">MAX(E$2:E76)</f>
        <v>7</v>
      </c>
      <c r="G76" s="2" t="str">
        <f aca="false">INDEX(Groups!$B$2:$B$14,F76)</f>
        <v>sus4: vi, ii, iii, vii°</v>
      </c>
      <c r="H76" s="2" t="s">
        <v>30</v>
      </c>
      <c r="I76" s="2" t="n">
        <f aca="false">SUMPRODUCT((Groups!$A$2:$A$14&lt;=E76)*Groups!$C$2:$C$14)</f>
        <v>21</v>
      </c>
      <c r="J76" s="2" t="n">
        <f aca="false">D76*I76</f>
        <v>189</v>
      </c>
    </row>
    <row r="77" customFormat="false" ht="15" hidden="false" customHeight="false" outlineLevel="0" collapsed="false">
      <c r="A77" s="2" t="n">
        <v>76</v>
      </c>
      <c r="B77" s="2" t="n">
        <v>17</v>
      </c>
      <c r="C77" s="2" t="s">
        <v>40</v>
      </c>
      <c r="D77" s="2" t="n">
        <v>10</v>
      </c>
      <c r="E77" s="2" t="n">
        <v>7</v>
      </c>
      <c r="F77" s="2" t="n">
        <f aca="false">MAX(E$2:E77)</f>
        <v>7</v>
      </c>
      <c r="G77" s="2" t="str">
        <f aca="false">INDEX(Groups!$B$2:$B$14,F77)</f>
        <v>sus4: vi, ii, iii, vii°</v>
      </c>
      <c r="H77" s="2" t="s">
        <v>32</v>
      </c>
      <c r="I77" s="2" t="n">
        <f aca="false">SUMPRODUCT((Groups!$A$2:$A$14&lt;=E77)*Groups!$C$2:$C$14)</f>
        <v>21</v>
      </c>
      <c r="J77" s="2" t="n">
        <f aca="false">D77*I77</f>
        <v>210</v>
      </c>
    </row>
    <row r="78" customFormat="false" ht="15" hidden="false" customHeight="false" outlineLevel="0" collapsed="false">
      <c r="A78" s="2" t="n">
        <v>77</v>
      </c>
      <c r="B78" s="2" t="n">
        <v>17</v>
      </c>
      <c r="C78" s="2" t="s">
        <v>40</v>
      </c>
      <c r="D78" s="2" t="n">
        <v>11</v>
      </c>
      <c r="E78" s="2" t="n">
        <v>7</v>
      </c>
      <c r="F78" s="2" t="n">
        <f aca="false">MAX(E$2:E78)</f>
        <v>7</v>
      </c>
      <c r="G78" s="2" t="str">
        <f aca="false">INDEX(Groups!$B$2:$B$14,F78)</f>
        <v>sus4: vi, ii, iii, vii°</v>
      </c>
      <c r="H78" s="2" t="s">
        <v>35</v>
      </c>
      <c r="I78" s="2" t="n">
        <f aca="false">SUMPRODUCT((Groups!$A$2:$A$14&lt;=E78)*Groups!$C$2:$C$14)</f>
        <v>21</v>
      </c>
      <c r="J78" s="2" t="n">
        <f aca="false">D78*I78</f>
        <v>231</v>
      </c>
    </row>
    <row r="79" customFormat="false" ht="15" hidden="false" customHeight="false" outlineLevel="0" collapsed="false">
      <c r="A79" s="2" t="n">
        <v>78</v>
      </c>
      <c r="B79" s="2" t="n">
        <v>17</v>
      </c>
      <c r="C79" s="2" t="s">
        <v>40</v>
      </c>
      <c r="D79" s="2" t="n">
        <v>12</v>
      </c>
      <c r="E79" s="2" t="n">
        <v>7</v>
      </c>
      <c r="F79" s="2" t="n">
        <f aca="false">MAX(E$2:E79)</f>
        <v>7</v>
      </c>
      <c r="G79" s="2" t="str">
        <f aca="false">INDEX(Groups!$B$2:$B$14,F79)</f>
        <v>sus4: vi, ii, iii, vii°</v>
      </c>
      <c r="H79" s="2" t="s">
        <v>37</v>
      </c>
      <c r="I79" s="2" t="n">
        <f aca="false">SUMPRODUCT((Groups!$A$2:$A$14&lt;=E79)*Groups!$C$2:$C$14)</f>
        <v>21</v>
      </c>
      <c r="J79" s="2" t="n">
        <f aca="false">D79*I79</f>
        <v>252</v>
      </c>
    </row>
    <row r="80" customFormat="false" ht="15" hidden="false" customHeight="false" outlineLevel="0" collapsed="false">
      <c r="A80" s="2" t="n">
        <v>79</v>
      </c>
      <c r="B80" s="2" t="n">
        <v>18</v>
      </c>
      <c r="C80" s="2" t="s">
        <v>41</v>
      </c>
      <c r="D80" s="2" t="n">
        <v>2</v>
      </c>
      <c r="E80" s="2" t="n">
        <v>8</v>
      </c>
      <c r="F80" s="2" t="n">
        <f aca="false">MAX(E$2:E80)</f>
        <v>8</v>
      </c>
      <c r="G80" s="2" t="str">
        <f aca="false">INDEX(Groups!$B$2:$B$14,F80)</f>
        <v>sus2: I, V, IV</v>
      </c>
      <c r="H80" s="2" t="s">
        <v>14</v>
      </c>
      <c r="I80" s="2" t="n">
        <f aca="false">SUMPRODUCT((Groups!$A$2:$A$14&lt;=E80)*Groups!$C$2:$C$14)</f>
        <v>24</v>
      </c>
      <c r="J80" s="2" t="n">
        <f aca="false">D80*I80</f>
        <v>48</v>
      </c>
    </row>
    <row r="81" customFormat="false" ht="15" hidden="false" customHeight="false" outlineLevel="0" collapsed="false">
      <c r="A81" s="2" t="n">
        <v>80</v>
      </c>
      <c r="B81" s="2" t="n">
        <v>18</v>
      </c>
      <c r="C81" s="2" t="s">
        <v>41</v>
      </c>
      <c r="D81" s="2" t="n">
        <v>3</v>
      </c>
      <c r="E81" s="2" t="n">
        <v>8</v>
      </c>
      <c r="F81" s="2" t="n">
        <f aca="false">MAX(E$2:E81)</f>
        <v>8</v>
      </c>
      <c r="G81" s="2" t="str">
        <f aca="false">INDEX(Groups!$B$2:$B$14,F81)</f>
        <v>sus2: I, V, IV</v>
      </c>
      <c r="H81" s="2" t="s">
        <v>16</v>
      </c>
      <c r="I81" s="2" t="n">
        <f aca="false">SUMPRODUCT((Groups!$A$2:$A$14&lt;=E81)*Groups!$C$2:$C$14)</f>
        <v>24</v>
      </c>
      <c r="J81" s="2" t="n">
        <f aca="false">D81*I81</f>
        <v>72</v>
      </c>
    </row>
    <row r="82" customFormat="false" ht="15" hidden="false" customHeight="false" outlineLevel="0" collapsed="false">
      <c r="A82" s="2" t="n">
        <v>81</v>
      </c>
      <c r="B82" s="2" t="n">
        <v>18</v>
      </c>
      <c r="C82" s="2" t="s">
        <v>41</v>
      </c>
      <c r="D82" s="2" t="n">
        <v>4</v>
      </c>
      <c r="E82" s="2" t="n">
        <v>8</v>
      </c>
      <c r="F82" s="2" t="n">
        <f aca="false">MAX(E$2:E82)</f>
        <v>8</v>
      </c>
      <c r="G82" s="2" t="str">
        <f aca="false">INDEX(Groups!$B$2:$B$14,F82)</f>
        <v>sus2: I, V, IV</v>
      </c>
      <c r="H82" s="2" t="s">
        <v>18</v>
      </c>
      <c r="I82" s="2" t="n">
        <f aca="false">SUMPRODUCT((Groups!$A$2:$A$14&lt;=E82)*Groups!$C$2:$C$14)</f>
        <v>24</v>
      </c>
      <c r="J82" s="2" t="n">
        <f aca="false">D82*I82</f>
        <v>96</v>
      </c>
    </row>
    <row r="83" customFormat="false" ht="15" hidden="false" customHeight="false" outlineLevel="0" collapsed="false">
      <c r="A83" s="2" t="n">
        <v>82</v>
      </c>
      <c r="B83" s="2" t="n">
        <v>18</v>
      </c>
      <c r="C83" s="2" t="s">
        <v>41</v>
      </c>
      <c r="D83" s="2" t="n">
        <v>5</v>
      </c>
      <c r="E83" s="2" t="n">
        <v>8</v>
      </c>
      <c r="F83" s="2" t="n">
        <f aca="false">MAX(E$2:E83)</f>
        <v>8</v>
      </c>
      <c r="G83" s="2" t="str">
        <f aca="false">INDEX(Groups!$B$2:$B$14,F83)</f>
        <v>sus2: I, V, IV</v>
      </c>
      <c r="H83" s="2" t="s">
        <v>20</v>
      </c>
      <c r="I83" s="2" t="n">
        <f aca="false">SUMPRODUCT((Groups!$A$2:$A$14&lt;=E83)*Groups!$C$2:$C$14)</f>
        <v>24</v>
      </c>
      <c r="J83" s="2" t="n">
        <f aca="false">D83*I83</f>
        <v>120</v>
      </c>
    </row>
    <row r="84" customFormat="false" ht="15" hidden="false" customHeight="false" outlineLevel="0" collapsed="false">
      <c r="A84" s="2" t="n">
        <v>83</v>
      </c>
      <c r="B84" s="2" t="n">
        <v>18</v>
      </c>
      <c r="C84" s="2" t="s">
        <v>41</v>
      </c>
      <c r="D84" s="2" t="n">
        <v>6</v>
      </c>
      <c r="E84" s="2" t="n">
        <v>8</v>
      </c>
      <c r="F84" s="2" t="n">
        <f aca="false">MAX(E$2:E84)</f>
        <v>8</v>
      </c>
      <c r="G84" s="2" t="str">
        <f aca="false">INDEX(Groups!$B$2:$B$14,F84)</f>
        <v>sus2: I, V, IV</v>
      </c>
      <c r="H84" s="2" t="s">
        <v>23</v>
      </c>
      <c r="I84" s="2" t="n">
        <f aca="false">SUMPRODUCT((Groups!$A$2:$A$14&lt;=E84)*Groups!$C$2:$C$14)</f>
        <v>24</v>
      </c>
      <c r="J84" s="2" t="n">
        <f aca="false">D84*I84</f>
        <v>144</v>
      </c>
    </row>
    <row r="85" customFormat="false" ht="15" hidden="false" customHeight="false" outlineLevel="0" collapsed="false">
      <c r="A85" s="2" t="n">
        <v>84</v>
      </c>
      <c r="B85" s="2" t="n">
        <v>18</v>
      </c>
      <c r="C85" s="2" t="s">
        <v>41</v>
      </c>
      <c r="D85" s="2" t="n">
        <v>7</v>
      </c>
      <c r="E85" s="2" t="n">
        <v>8</v>
      </c>
      <c r="F85" s="2" t="n">
        <f aca="false">MAX(E$2:E85)</f>
        <v>8</v>
      </c>
      <c r="G85" s="2" t="str">
        <f aca="false">INDEX(Groups!$B$2:$B$14,F85)</f>
        <v>sus2: I, V, IV</v>
      </c>
      <c r="H85" s="2" t="s">
        <v>25</v>
      </c>
      <c r="I85" s="2" t="n">
        <f aca="false">SUMPRODUCT((Groups!$A$2:$A$14&lt;=E85)*Groups!$C$2:$C$14)</f>
        <v>24</v>
      </c>
      <c r="J85" s="2" t="n">
        <f aca="false">D85*I85</f>
        <v>168</v>
      </c>
    </row>
    <row r="86" customFormat="false" ht="15" hidden="false" customHeight="false" outlineLevel="0" collapsed="false">
      <c r="A86" s="2" t="n">
        <v>85</v>
      </c>
      <c r="B86" s="2" t="n">
        <v>18</v>
      </c>
      <c r="C86" s="2" t="s">
        <v>41</v>
      </c>
      <c r="D86" s="2" t="n">
        <v>8</v>
      </c>
      <c r="E86" s="2" t="n">
        <v>8</v>
      </c>
      <c r="F86" s="2" t="n">
        <f aca="false">MAX(E$2:E86)</f>
        <v>8</v>
      </c>
      <c r="G86" s="2" t="str">
        <f aca="false">INDEX(Groups!$B$2:$B$14,F86)</f>
        <v>sus2: I, V, IV</v>
      </c>
      <c r="H86" s="2" t="s">
        <v>27</v>
      </c>
      <c r="I86" s="2" t="n">
        <f aca="false">SUMPRODUCT((Groups!$A$2:$A$14&lt;=E86)*Groups!$C$2:$C$14)</f>
        <v>24</v>
      </c>
      <c r="J86" s="2" t="n">
        <f aca="false">D86*I86</f>
        <v>192</v>
      </c>
    </row>
    <row r="87" customFormat="false" ht="15" hidden="false" customHeight="false" outlineLevel="0" collapsed="false">
      <c r="A87" s="2" t="n">
        <v>86</v>
      </c>
      <c r="B87" s="2" t="n">
        <v>18</v>
      </c>
      <c r="C87" s="2" t="s">
        <v>41</v>
      </c>
      <c r="D87" s="2" t="n">
        <v>9</v>
      </c>
      <c r="E87" s="2" t="n">
        <v>8</v>
      </c>
      <c r="F87" s="2" t="n">
        <f aca="false">MAX(E$2:E87)</f>
        <v>8</v>
      </c>
      <c r="G87" s="2" t="str">
        <f aca="false">INDEX(Groups!$B$2:$B$14,F87)</f>
        <v>sus2: I, V, IV</v>
      </c>
      <c r="H87" s="2" t="s">
        <v>30</v>
      </c>
      <c r="I87" s="2" t="n">
        <f aca="false">SUMPRODUCT((Groups!$A$2:$A$14&lt;=E87)*Groups!$C$2:$C$14)</f>
        <v>24</v>
      </c>
      <c r="J87" s="2" t="n">
        <f aca="false">D87*I87</f>
        <v>216</v>
      </c>
    </row>
    <row r="88" customFormat="false" ht="15" hidden="false" customHeight="false" outlineLevel="0" collapsed="false">
      <c r="A88" s="2" t="n">
        <v>87</v>
      </c>
      <c r="B88" s="2" t="n">
        <v>18</v>
      </c>
      <c r="C88" s="2" t="s">
        <v>41</v>
      </c>
      <c r="D88" s="2" t="n">
        <v>10</v>
      </c>
      <c r="E88" s="2" t="n">
        <v>8</v>
      </c>
      <c r="F88" s="2" t="n">
        <f aca="false">MAX(E$2:E88)</f>
        <v>8</v>
      </c>
      <c r="G88" s="2" t="str">
        <f aca="false">INDEX(Groups!$B$2:$B$14,F88)</f>
        <v>sus2: I, V, IV</v>
      </c>
      <c r="H88" s="2" t="s">
        <v>32</v>
      </c>
      <c r="I88" s="2" t="n">
        <f aca="false">SUMPRODUCT((Groups!$A$2:$A$14&lt;=E88)*Groups!$C$2:$C$14)</f>
        <v>24</v>
      </c>
      <c r="J88" s="2" t="n">
        <f aca="false">D88*I88</f>
        <v>240</v>
      </c>
    </row>
    <row r="89" customFormat="false" ht="15" hidden="false" customHeight="false" outlineLevel="0" collapsed="false">
      <c r="A89" s="2" t="n">
        <v>88</v>
      </c>
      <c r="B89" s="2" t="n">
        <v>18</v>
      </c>
      <c r="C89" s="2" t="s">
        <v>41</v>
      </c>
      <c r="D89" s="2" t="n">
        <v>11</v>
      </c>
      <c r="E89" s="2" t="n">
        <v>8</v>
      </c>
      <c r="F89" s="2" t="n">
        <f aca="false">MAX(E$2:E89)</f>
        <v>8</v>
      </c>
      <c r="G89" s="2" t="str">
        <f aca="false">INDEX(Groups!$B$2:$B$14,F89)</f>
        <v>sus2: I, V, IV</v>
      </c>
      <c r="H89" s="2" t="s">
        <v>35</v>
      </c>
      <c r="I89" s="2" t="n">
        <f aca="false">SUMPRODUCT((Groups!$A$2:$A$14&lt;=E89)*Groups!$C$2:$C$14)</f>
        <v>24</v>
      </c>
      <c r="J89" s="2" t="n">
        <f aca="false">D89*I89</f>
        <v>264</v>
      </c>
    </row>
    <row r="90" customFormat="false" ht="15" hidden="false" customHeight="false" outlineLevel="0" collapsed="false">
      <c r="A90" s="2" t="n">
        <v>89</v>
      </c>
      <c r="B90" s="2" t="n">
        <v>18</v>
      </c>
      <c r="C90" s="2" t="s">
        <v>41</v>
      </c>
      <c r="D90" s="2" t="n">
        <v>12</v>
      </c>
      <c r="E90" s="2" t="n">
        <v>8</v>
      </c>
      <c r="F90" s="2" t="n">
        <f aca="false">MAX(E$2:E90)</f>
        <v>8</v>
      </c>
      <c r="G90" s="2" t="str">
        <f aca="false">INDEX(Groups!$B$2:$B$14,F90)</f>
        <v>sus2: I, V, IV</v>
      </c>
      <c r="H90" s="2" t="s">
        <v>37</v>
      </c>
      <c r="I90" s="2" t="n">
        <f aca="false">SUMPRODUCT((Groups!$A$2:$A$14&lt;=E90)*Groups!$C$2:$C$14)</f>
        <v>24</v>
      </c>
      <c r="J90" s="2" t="n">
        <f aca="false">D90*I90</f>
        <v>288</v>
      </c>
    </row>
    <row r="91" customFormat="false" ht="15" hidden="false" customHeight="false" outlineLevel="0" collapsed="false">
      <c r="A91" s="2" t="n">
        <v>90</v>
      </c>
      <c r="B91" s="2" t="n">
        <v>19</v>
      </c>
      <c r="C91" s="2" t="s">
        <v>42</v>
      </c>
      <c r="D91" s="2" t="n">
        <v>2</v>
      </c>
      <c r="E91" s="2" t="n">
        <v>9</v>
      </c>
      <c r="F91" s="2" t="n">
        <f aca="false">MAX(E$2:E91)</f>
        <v>9</v>
      </c>
      <c r="G91" s="2" t="str">
        <f aca="false">INDEX(Groups!$B$2:$B$14,F91)</f>
        <v>sus2: vi, ii, iii, vii°</v>
      </c>
      <c r="H91" s="2" t="s">
        <v>14</v>
      </c>
      <c r="I91" s="2" t="n">
        <f aca="false">SUMPRODUCT((Groups!$A$2:$A$14&lt;=E91)*Groups!$C$2:$C$14)</f>
        <v>28</v>
      </c>
      <c r="J91" s="2" t="n">
        <f aca="false">D91*I91</f>
        <v>56</v>
      </c>
    </row>
    <row r="92" customFormat="false" ht="15" hidden="false" customHeight="false" outlineLevel="0" collapsed="false">
      <c r="A92" s="2" t="n">
        <v>91</v>
      </c>
      <c r="B92" s="2" t="n">
        <v>19</v>
      </c>
      <c r="C92" s="2" t="s">
        <v>42</v>
      </c>
      <c r="D92" s="2" t="n">
        <v>3</v>
      </c>
      <c r="E92" s="2" t="n">
        <v>9</v>
      </c>
      <c r="F92" s="2" t="n">
        <f aca="false">MAX(E$2:E92)</f>
        <v>9</v>
      </c>
      <c r="G92" s="2" t="str">
        <f aca="false">INDEX(Groups!$B$2:$B$14,F92)</f>
        <v>sus2: vi, ii, iii, vii°</v>
      </c>
      <c r="H92" s="2" t="s">
        <v>16</v>
      </c>
      <c r="I92" s="2" t="n">
        <f aca="false">SUMPRODUCT((Groups!$A$2:$A$14&lt;=E92)*Groups!$C$2:$C$14)</f>
        <v>28</v>
      </c>
      <c r="J92" s="2" t="n">
        <f aca="false">D92*I92</f>
        <v>84</v>
      </c>
    </row>
    <row r="93" customFormat="false" ht="15" hidden="false" customHeight="false" outlineLevel="0" collapsed="false">
      <c r="A93" s="2" t="n">
        <v>92</v>
      </c>
      <c r="B93" s="2" t="n">
        <v>19</v>
      </c>
      <c r="C93" s="2" t="s">
        <v>42</v>
      </c>
      <c r="D93" s="2" t="n">
        <v>4</v>
      </c>
      <c r="E93" s="2" t="n">
        <v>9</v>
      </c>
      <c r="F93" s="2" t="n">
        <f aca="false">MAX(E$2:E93)</f>
        <v>9</v>
      </c>
      <c r="G93" s="2" t="str">
        <f aca="false">INDEX(Groups!$B$2:$B$14,F93)</f>
        <v>sus2: vi, ii, iii, vii°</v>
      </c>
      <c r="H93" s="2" t="s">
        <v>18</v>
      </c>
      <c r="I93" s="2" t="n">
        <f aca="false">SUMPRODUCT((Groups!$A$2:$A$14&lt;=E93)*Groups!$C$2:$C$14)</f>
        <v>28</v>
      </c>
      <c r="J93" s="2" t="n">
        <f aca="false">D93*I93</f>
        <v>112</v>
      </c>
    </row>
    <row r="94" customFormat="false" ht="15" hidden="false" customHeight="false" outlineLevel="0" collapsed="false">
      <c r="A94" s="2" t="n">
        <v>93</v>
      </c>
      <c r="B94" s="2" t="n">
        <v>19</v>
      </c>
      <c r="C94" s="2" t="s">
        <v>42</v>
      </c>
      <c r="D94" s="2" t="n">
        <v>5</v>
      </c>
      <c r="E94" s="2" t="n">
        <v>9</v>
      </c>
      <c r="F94" s="2" t="n">
        <f aca="false">MAX(E$2:E94)</f>
        <v>9</v>
      </c>
      <c r="G94" s="2" t="str">
        <f aca="false">INDEX(Groups!$B$2:$B$14,F94)</f>
        <v>sus2: vi, ii, iii, vii°</v>
      </c>
      <c r="H94" s="2" t="s">
        <v>20</v>
      </c>
      <c r="I94" s="2" t="n">
        <f aca="false">SUMPRODUCT((Groups!$A$2:$A$14&lt;=E94)*Groups!$C$2:$C$14)</f>
        <v>28</v>
      </c>
      <c r="J94" s="2" t="n">
        <f aca="false">D94*I94</f>
        <v>140</v>
      </c>
    </row>
    <row r="95" customFormat="false" ht="15" hidden="false" customHeight="false" outlineLevel="0" collapsed="false">
      <c r="A95" s="2" t="n">
        <v>94</v>
      </c>
      <c r="B95" s="2" t="n">
        <v>19</v>
      </c>
      <c r="C95" s="2" t="s">
        <v>42</v>
      </c>
      <c r="D95" s="2" t="n">
        <v>6</v>
      </c>
      <c r="E95" s="2" t="n">
        <v>9</v>
      </c>
      <c r="F95" s="2" t="n">
        <f aca="false">MAX(E$2:E95)</f>
        <v>9</v>
      </c>
      <c r="G95" s="2" t="str">
        <f aca="false">INDEX(Groups!$B$2:$B$14,F95)</f>
        <v>sus2: vi, ii, iii, vii°</v>
      </c>
      <c r="H95" s="2" t="s">
        <v>23</v>
      </c>
      <c r="I95" s="2" t="n">
        <f aca="false">SUMPRODUCT((Groups!$A$2:$A$14&lt;=E95)*Groups!$C$2:$C$14)</f>
        <v>28</v>
      </c>
      <c r="J95" s="2" t="n">
        <f aca="false">D95*I95</f>
        <v>168</v>
      </c>
    </row>
    <row r="96" customFormat="false" ht="15" hidden="false" customHeight="false" outlineLevel="0" collapsed="false">
      <c r="A96" s="2" t="n">
        <v>95</v>
      </c>
      <c r="B96" s="2" t="n">
        <v>19</v>
      </c>
      <c r="C96" s="2" t="s">
        <v>42</v>
      </c>
      <c r="D96" s="2" t="n">
        <v>7</v>
      </c>
      <c r="E96" s="2" t="n">
        <v>9</v>
      </c>
      <c r="F96" s="2" t="n">
        <f aca="false">MAX(E$2:E96)</f>
        <v>9</v>
      </c>
      <c r="G96" s="2" t="str">
        <f aca="false">INDEX(Groups!$B$2:$B$14,F96)</f>
        <v>sus2: vi, ii, iii, vii°</v>
      </c>
      <c r="H96" s="2" t="s">
        <v>25</v>
      </c>
      <c r="I96" s="2" t="n">
        <f aca="false">SUMPRODUCT((Groups!$A$2:$A$14&lt;=E96)*Groups!$C$2:$C$14)</f>
        <v>28</v>
      </c>
      <c r="J96" s="2" t="n">
        <f aca="false">D96*I96</f>
        <v>196</v>
      </c>
    </row>
    <row r="97" customFormat="false" ht="15" hidden="false" customHeight="false" outlineLevel="0" collapsed="false">
      <c r="A97" s="2" t="n">
        <v>96</v>
      </c>
      <c r="B97" s="2" t="n">
        <v>19</v>
      </c>
      <c r="C97" s="2" t="s">
        <v>42</v>
      </c>
      <c r="D97" s="2" t="n">
        <v>8</v>
      </c>
      <c r="E97" s="2" t="n">
        <v>9</v>
      </c>
      <c r="F97" s="2" t="n">
        <f aca="false">MAX(E$2:E97)</f>
        <v>9</v>
      </c>
      <c r="G97" s="2" t="str">
        <f aca="false">INDEX(Groups!$B$2:$B$14,F97)</f>
        <v>sus2: vi, ii, iii, vii°</v>
      </c>
      <c r="H97" s="2" t="s">
        <v>27</v>
      </c>
      <c r="I97" s="2" t="n">
        <f aca="false">SUMPRODUCT((Groups!$A$2:$A$14&lt;=E97)*Groups!$C$2:$C$14)</f>
        <v>28</v>
      </c>
      <c r="J97" s="2" t="n">
        <f aca="false">D97*I97</f>
        <v>224</v>
      </c>
    </row>
    <row r="98" customFormat="false" ht="15" hidden="false" customHeight="false" outlineLevel="0" collapsed="false">
      <c r="A98" s="2" t="n">
        <v>97</v>
      </c>
      <c r="B98" s="2" t="n">
        <v>19</v>
      </c>
      <c r="C98" s="2" t="s">
        <v>42</v>
      </c>
      <c r="D98" s="2" t="n">
        <v>9</v>
      </c>
      <c r="E98" s="2" t="n">
        <v>9</v>
      </c>
      <c r="F98" s="2" t="n">
        <f aca="false">MAX(E$2:E98)</f>
        <v>9</v>
      </c>
      <c r="G98" s="2" t="str">
        <f aca="false">INDEX(Groups!$B$2:$B$14,F98)</f>
        <v>sus2: vi, ii, iii, vii°</v>
      </c>
      <c r="H98" s="2" t="s">
        <v>30</v>
      </c>
      <c r="I98" s="2" t="n">
        <f aca="false">SUMPRODUCT((Groups!$A$2:$A$14&lt;=E98)*Groups!$C$2:$C$14)</f>
        <v>28</v>
      </c>
      <c r="J98" s="2" t="n">
        <f aca="false">D98*I98</f>
        <v>252</v>
      </c>
    </row>
    <row r="99" customFormat="false" ht="15" hidden="false" customHeight="false" outlineLevel="0" collapsed="false">
      <c r="A99" s="2" t="n">
        <v>98</v>
      </c>
      <c r="B99" s="2" t="n">
        <v>19</v>
      </c>
      <c r="C99" s="2" t="s">
        <v>42</v>
      </c>
      <c r="D99" s="2" t="n">
        <v>10</v>
      </c>
      <c r="E99" s="2" t="n">
        <v>9</v>
      </c>
      <c r="F99" s="2" t="n">
        <f aca="false">MAX(E$2:E99)</f>
        <v>9</v>
      </c>
      <c r="G99" s="2" t="str">
        <f aca="false">INDEX(Groups!$B$2:$B$14,F99)</f>
        <v>sus2: vi, ii, iii, vii°</v>
      </c>
      <c r="H99" s="2" t="s">
        <v>32</v>
      </c>
      <c r="I99" s="2" t="n">
        <f aca="false">SUMPRODUCT((Groups!$A$2:$A$14&lt;=E99)*Groups!$C$2:$C$14)</f>
        <v>28</v>
      </c>
      <c r="J99" s="2" t="n">
        <f aca="false">D99*I99</f>
        <v>280</v>
      </c>
    </row>
    <row r="100" customFormat="false" ht="15" hidden="false" customHeight="false" outlineLevel="0" collapsed="false">
      <c r="A100" s="2" t="n">
        <v>99</v>
      </c>
      <c r="B100" s="2" t="n">
        <v>19</v>
      </c>
      <c r="C100" s="2" t="s">
        <v>42</v>
      </c>
      <c r="D100" s="2" t="n">
        <v>11</v>
      </c>
      <c r="E100" s="2" t="n">
        <v>9</v>
      </c>
      <c r="F100" s="2" t="n">
        <f aca="false">MAX(E$2:E100)</f>
        <v>9</v>
      </c>
      <c r="G100" s="2" t="str">
        <f aca="false">INDEX(Groups!$B$2:$B$14,F100)</f>
        <v>sus2: vi, ii, iii, vii°</v>
      </c>
      <c r="H100" s="2" t="s">
        <v>35</v>
      </c>
      <c r="I100" s="2" t="n">
        <f aca="false">SUMPRODUCT((Groups!$A$2:$A$14&lt;=E100)*Groups!$C$2:$C$14)</f>
        <v>28</v>
      </c>
      <c r="J100" s="2" t="n">
        <f aca="false">D100*I100</f>
        <v>308</v>
      </c>
    </row>
    <row r="101" customFormat="false" ht="15" hidden="false" customHeight="false" outlineLevel="0" collapsed="false">
      <c r="A101" s="2" t="n">
        <v>100</v>
      </c>
      <c r="B101" s="2" t="n">
        <v>19</v>
      </c>
      <c r="C101" s="2" t="s">
        <v>42</v>
      </c>
      <c r="D101" s="2" t="n">
        <v>12</v>
      </c>
      <c r="E101" s="2" t="n">
        <v>9</v>
      </c>
      <c r="F101" s="2" t="n">
        <f aca="false">MAX(E$2:E101)</f>
        <v>9</v>
      </c>
      <c r="G101" s="2" t="str">
        <f aca="false">INDEX(Groups!$B$2:$B$14,F101)</f>
        <v>sus2: vi, ii, iii, vii°</v>
      </c>
      <c r="H101" s="2" t="s">
        <v>37</v>
      </c>
      <c r="I101" s="2" t="n">
        <f aca="false">SUMPRODUCT((Groups!$A$2:$A$14&lt;=E101)*Groups!$C$2:$C$14)</f>
        <v>28</v>
      </c>
      <c r="J101" s="2" t="n">
        <f aca="false">D101*I101</f>
        <v>336</v>
      </c>
    </row>
    <row r="102" customFormat="false" ht="15" hidden="false" customHeight="false" outlineLevel="0" collapsed="false">
      <c r="A102" s="2" t="n">
        <v>101</v>
      </c>
      <c r="B102" s="2" t="n">
        <v>20</v>
      </c>
      <c r="C102" s="2" t="s">
        <v>43</v>
      </c>
      <c r="D102" s="2" t="n">
        <v>2</v>
      </c>
      <c r="E102" s="2" t="n">
        <v>10</v>
      </c>
      <c r="F102" s="2" t="n">
        <f aca="false">MAX(E$2:E102)</f>
        <v>10</v>
      </c>
      <c r="G102" s="2" t="str">
        <f aca="false">INDEX(Groups!$B$2:$B$14,F102)</f>
        <v>add9: I, V, IV</v>
      </c>
      <c r="H102" s="2" t="s">
        <v>14</v>
      </c>
      <c r="I102" s="2" t="n">
        <f aca="false">SUMPRODUCT((Groups!$A$2:$A$14&lt;=E102)*Groups!$C$2:$C$14)</f>
        <v>31</v>
      </c>
      <c r="J102" s="2" t="n">
        <f aca="false">D102*I102</f>
        <v>62</v>
      </c>
    </row>
    <row r="103" customFormat="false" ht="15" hidden="false" customHeight="false" outlineLevel="0" collapsed="false">
      <c r="A103" s="2" t="n">
        <v>102</v>
      </c>
      <c r="B103" s="2" t="n">
        <v>20</v>
      </c>
      <c r="C103" s="2" t="s">
        <v>43</v>
      </c>
      <c r="D103" s="2" t="n">
        <v>3</v>
      </c>
      <c r="E103" s="2" t="n">
        <v>10</v>
      </c>
      <c r="F103" s="2" t="n">
        <f aca="false">MAX(E$2:E103)</f>
        <v>10</v>
      </c>
      <c r="G103" s="2" t="str">
        <f aca="false">INDEX(Groups!$B$2:$B$14,F103)</f>
        <v>add9: I, V, IV</v>
      </c>
      <c r="H103" s="2" t="s">
        <v>16</v>
      </c>
      <c r="I103" s="2" t="n">
        <f aca="false">SUMPRODUCT((Groups!$A$2:$A$14&lt;=E103)*Groups!$C$2:$C$14)</f>
        <v>31</v>
      </c>
      <c r="J103" s="2" t="n">
        <f aca="false">D103*I103</f>
        <v>93</v>
      </c>
    </row>
    <row r="104" customFormat="false" ht="15" hidden="false" customHeight="false" outlineLevel="0" collapsed="false">
      <c r="A104" s="2" t="n">
        <v>103</v>
      </c>
      <c r="B104" s="2" t="n">
        <v>20</v>
      </c>
      <c r="C104" s="2" t="s">
        <v>43</v>
      </c>
      <c r="D104" s="2" t="n">
        <v>4</v>
      </c>
      <c r="E104" s="2" t="n">
        <v>10</v>
      </c>
      <c r="F104" s="2" t="n">
        <f aca="false">MAX(E$2:E104)</f>
        <v>10</v>
      </c>
      <c r="G104" s="2" t="str">
        <f aca="false">INDEX(Groups!$B$2:$B$14,F104)</f>
        <v>add9: I, V, IV</v>
      </c>
      <c r="H104" s="2" t="s">
        <v>18</v>
      </c>
      <c r="I104" s="2" t="n">
        <f aca="false">SUMPRODUCT((Groups!$A$2:$A$14&lt;=E104)*Groups!$C$2:$C$14)</f>
        <v>31</v>
      </c>
      <c r="J104" s="2" t="n">
        <f aca="false">D104*I104</f>
        <v>124</v>
      </c>
    </row>
    <row r="105" customFormat="false" ht="15" hidden="false" customHeight="false" outlineLevel="0" collapsed="false">
      <c r="A105" s="2" t="n">
        <v>104</v>
      </c>
      <c r="B105" s="2" t="n">
        <v>20</v>
      </c>
      <c r="C105" s="2" t="s">
        <v>43</v>
      </c>
      <c r="D105" s="2" t="n">
        <v>5</v>
      </c>
      <c r="E105" s="2" t="n">
        <v>10</v>
      </c>
      <c r="F105" s="2" t="n">
        <f aca="false">MAX(E$2:E105)</f>
        <v>10</v>
      </c>
      <c r="G105" s="2" t="str">
        <f aca="false">INDEX(Groups!$B$2:$B$14,F105)</f>
        <v>add9: I, V, IV</v>
      </c>
      <c r="H105" s="2" t="s">
        <v>20</v>
      </c>
      <c r="I105" s="2" t="n">
        <f aca="false">SUMPRODUCT((Groups!$A$2:$A$14&lt;=E105)*Groups!$C$2:$C$14)</f>
        <v>31</v>
      </c>
      <c r="J105" s="2" t="n">
        <f aca="false">D105*I105</f>
        <v>155</v>
      </c>
    </row>
    <row r="106" customFormat="false" ht="15" hidden="false" customHeight="false" outlineLevel="0" collapsed="false">
      <c r="A106" s="2" t="n">
        <v>105</v>
      </c>
      <c r="B106" s="2" t="n">
        <v>20</v>
      </c>
      <c r="C106" s="2" t="s">
        <v>43</v>
      </c>
      <c r="D106" s="2" t="n">
        <v>6</v>
      </c>
      <c r="E106" s="2" t="n">
        <v>10</v>
      </c>
      <c r="F106" s="2" t="n">
        <f aca="false">MAX(E$2:E106)</f>
        <v>10</v>
      </c>
      <c r="G106" s="2" t="str">
        <f aca="false">INDEX(Groups!$B$2:$B$14,F106)</f>
        <v>add9: I, V, IV</v>
      </c>
      <c r="H106" s="2" t="s">
        <v>23</v>
      </c>
      <c r="I106" s="2" t="n">
        <f aca="false">SUMPRODUCT((Groups!$A$2:$A$14&lt;=E106)*Groups!$C$2:$C$14)</f>
        <v>31</v>
      </c>
      <c r="J106" s="2" t="n">
        <f aca="false">D106*I106</f>
        <v>186</v>
      </c>
    </row>
    <row r="107" customFormat="false" ht="15" hidden="false" customHeight="false" outlineLevel="0" collapsed="false">
      <c r="A107" s="2" t="n">
        <v>106</v>
      </c>
      <c r="B107" s="2" t="n">
        <v>20</v>
      </c>
      <c r="C107" s="2" t="s">
        <v>43</v>
      </c>
      <c r="D107" s="2" t="n">
        <v>7</v>
      </c>
      <c r="E107" s="2" t="n">
        <v>10</v>
      </c>
      <c r="F107" s="2" t="n">
        <f aca="false">MAX(E$2:E107)</f>
        <v>10</v>
      </c>
      <c r="G107" s="2" t="str">
        <f aca="false">INDEX(Groups!$B$2:$B$14,F107)</f>
        <v>add9: I, V, IV</v>
      </c>
      <c r="H107" s="2" t="s">
        <v>25</v>
      </c>
      <c r="I107" s="2" t="n">
        <f aca="false">SUMPRODUCT((Groups!$A$2:$A$14&lt;=E107)*Groups!$C$2:$C$14)</f>
        <v>31</v>
      </c>
      <c r="J107" s="2" t="n">
        <f aca="false">D107*I107</f>
        <v>217</v>
      </c>
    </row>
    <row r="108" customFormat="false" ht="15" hidden="false" customHeight="false" outlineLevel="0" collapsed="false">
      <c r="A108" s="2" t="n">
        <v>107</v>
      </c>
      <c r="B108" s="2" t="n">
        <v>20</v>
      </c>
      <c r="C108" s="2" t="s">
        <v>43</v>
      </c>
      <c r="D108" s="2" t="n">
        <v>8</v>
      </c>
      <c r="E108" s="2" t="n">
        <v>10</v>
      </c>
      <c r="F108" s="2" t="n">
        <f aca="false">MAX(E$2:E108)</f>
        <v>10</v>
      </c>
      <c r="G108" s="2" t="str">
        <f aca="false">INDEX(Groups!$B$2:$B$14,F108)</f>
        <v>add9: I, V, IV</v>
      </c>
      <c r="H108" s="2" t="s">
        <v>27</v>
      </c>
      <c r="I108" s="2" t="n">
        <f aca="false">SUMPRODUCT((Groups!$A$2:$A$14&lt;=E108)*Groups!$C$2:$C$14)</f>
        <v>31</v>
      </c>
      <c r="J108" s="2" t="n">
        <f aca="false">D108*I108</f>
        <v>248</v>
      </c>
    </row>
    <row r="109" customFormat="false" ht="15" hidden="false" customHeight="false" outlineLevel="0" collapsed="false">
      <c r="A109" s="2" t="n">
        <v>108</v>
      </c>
      <c r="B109" s="2" t="n">
        <v>20</v>
      </c>
      <c r="C109" s="2" t="s">
        <v>43</v>
      </c>
      <c r="D109" s="2" t="n">
        <v>9</v>
      </c>
      <c r="E109" s="2" t="n">
        <v>10</v>
      </c>
      <c r="F109" s="2" t="n">
        <f aca="false">MAX(E$2:E109)</f>
        <v>10</v>
      </c>
      <c r="G109" s="2" t="str">
        <f aca="false">INDEX(Groups!$B$2:$B$14,F109)</f>
        <v>add9: I, V, IV</v>
      </c>
      <c r="H109" s="2" t="s">
        <v>30</v>
      </c>
      <c r="I109" s="2" t="n">
        <f aca="false">SUMPRODUCT((Groups!$A$2:$A$14&lt;=E109)*Groups!$C$2:$C$14)</f>
        <v>31</v>
      </c>
      <c r="J109" s="2" t="n">
        <f aca="false">D109*I109</f>
        <v>279</v>
      </c>
    </row>
    <row r="110" customFormat="false" ht="15" hidden="false" customHeight="false" outlineLevel="0" collapsed="false">
      <c r="A110" s="2" t="n">
        <v>109</v>
      </c>
      <c r="B110" s="2" t="n">
        <v>20</v>
      </c>
      <c r="C110" s="2" t="s">
        <v>43</v>
      </c>
      <c r="D110" s="2" t="n">
        <v>10</v>
      </c>
      <c r="E110" s="2" t="n">
        <v>10</v>
      </c>
      <c r="F110" s="2" t="n">
        <f aca="false">MAX(E$2:E110)</f>
        <v>10</v>
      </c>
      <c r="G110" s="2" t="str">
        <f aca="false">INDEX(Groups!$B$2:$B$14,F110)</f>
        <v>add9: I, V, IV</v>
      </c>
      <c r="H110" s="2" t="s">
        <v>32</v>
      </c>
      <c r="I110" s="2" t="n">
        <f aca="false">SUMPRODUCT((Groups!$A$2:$A$14&lt;=E110)*Groups!$C$2:$C$14)</f>
        <v>31</v>
      </c>
      <c r="J110" s="2" t="n">
        <f aca="false">D110*I110</f>
        <v>310</v>
      </c>
    </row>
    <row r="111" customFormat="false" ht="15" hidden="false" customHeight="false" outlineLevel="0" collapsed="false">
      <c r="A111" s="2" t="n">
        <v>110</v>
      </c>
      <c r="B111" s="2" t="n">
        <v>20</v>
      </c>
      <c r="C111" s="2" t="s">
        <v>43</v>
      </c>
      <c r="D111" s="2" t="n">
        <v>11</v>
      </c>
      <c r="E111" s="2" t="n">
        <v>10</v>
      </c>
      <c r="F111" s="2" t="n">
        <f aca="false">MAX(E$2:E111)</f>
        <v>10</v>
      </c>
      <c r="G111" s="2" t="str">
        <f aca="false">INDEX(Groups!$B$2:$B$14,F111)</f>
        <v>add9: I, V, IV</v>
      </c>
      <c r="H111" s="2" t="s">
        <v>35</v>
      </c>
      <c r="I111" s="2" t="n">
        <f aca="false">SUMPRODUCT((Groups!$A$2:$A$14&lt;=E111)*Groups!$C$2:$C$14)</f>
        <v>31</v>
      </c>
      <c r="J111" s="2" t="n">
        <f aca="false">D111*I111</f>
        <v>341</v>
      </c>
    </row>
    <row r="112" customFormat="false" ht="15" hidden="false" customHeight="false" outlineLevel="0" collapsed="false">
      <c r="A112" s="2" t="n">
        <v>111</v>
      </c>
      <c r="B112" s="2" t="n">
        <v>20</v>
      </c>
      <c r="C112" s="2" t="s">
        <v>43</v>
      </c>
      <c r="D112" s="2" t="n">
        <v>12</v>
      </c>
      <c r="E112" s="2" t="n">
        <v>10</v>
      </c>
      <c r="F112" s="2" t="n">
        <f aca="false">MAX(E$2:E112)</f>
        <v>10</v>
      </c>
      <c r="G112" s="2" t="str">
        <f aca="false">INDEX(Groups!$B$2:$B$14,F112)</f>
        <v>add9: I, V, IV</v>
      </c>
      <c r="H112" s="2" t="s">
        <v>37</v>
      </c>
      <c r="I112" s="2" t="n">
        <f aca="false">SUMPRODUCT((Groups!$A$2:$A$14&lt;=E112)*Groups!$C$2:$C$14)</f>
        <v>31</v>
      </c>
      <c r="J112" s="2" t="n">
        <f aca="false">D112*I112</f>
        <v>372</v>
      </c>
    </row>
    <row r="113" customFormat="false" ht="15" hidden="false" customHeight="false" outlineLevel="0" collapsed="false">
      <c r="A113" s="2" t="n">
        <v>112</v>
      </c>
      <c r="B113" s="2" t="n">
        <v>21</v>
      </c>
      <c r="C113" s="2" t="s">
        <v>44</v>
      </c>
      <c r="D113" s="2" t="n">
        <v>2</v>
      </c>
      <c r="E113" s="2" t="n">
        <v>11</v>
      </c>
      <c r="F113" s="2" t="n">
        <f aca="false">MAX(E$2:E113)</f>
        <v>11</v>
      </c>
      <c r="G113" s="2" t="str">
        <f aca="false">INDEX(Groups!$B$2:$B$14,F113)</f>
        <v>add9: vi, ii, iii, vii°</v>
      </c>
      <c r="H113" s="2" t="s">
        <v>14</v>
      </c>
      <c r="I113" s="2" t="n">
        <f aca="false">SUMPRODUCT((Groups!$A$2:$A$14&lt;=E113)*Groups!$C$2:$C$14)</f>
        <v>35</v>
      </c>
      <c r="J113" s="2" t="n">
        <f aca="false">D113*I113</f>
        <v>70</v>
      </c>
    </row>
    <row r="114" customFormat="false" ht="15" hidden="false" customHeight="false" outlineLevel="0" collapsed="false">
      <c r="A114" s="2" t="n">
        <v>113</v>
      </c>
      <c r="B114" s="2" t="n">
        <v>21</v>
      </c>
      <c r="C114" s="2" t="s">
        <v>44</v>
      </c>
      <c r="D114" s="2" t="n">
        <v>3</v>
      </c>
      <c r="E114" s="2" t="n">
        <v>11</v>
      </c>
      <c r="F114" s="2" t="n">
        <f aca="false">MAX(E$2:E114)</f>
        <v>11</v>
      </c>
      <c r="G114" s="2" t="str">
        <f aca="false">INDEX(Groups!$B$2:$B$14,F114)</f>
        <v>add9: vi, ii, iii, vii°</v>
      </c>
      <c r="H114" s="2" t="s">
        <v>16</v>
      </c>
      <c r="I114" s="2" t="n">
        <f aca="false">SUMPRODUCT((Groups!$A$2:$A$14&lt;=E114)*Groups!$C$2:$C$14)</f>
        <v>35</v>
      </c>
      <c r="J114" s="2" t="n">
        <f aca="false">D114*I114</f>
        <v>105</v>
      </c>
    </row>
    <row r="115" customFormat="false" ht="15" hidden="false" customHeight="false" outlineLevel="0" collapsed="false">
      <c r="A115" s="2" t="n">
        <v>114</v>
      </c>
      <c r="B115" s="2" t="n">
        <v>21</v>
      </c>
      <c r="C115" s="2" t="s">
        <v>44</v>
      </c>
      <c r="D115" s="2" t="n">
        <v>4</v>
      </c>
      <c r="E115" s="2" t="n">
        <v>11</v>
      </c>
      <c r="F115" s="2" t="n">
        <f aca="false">MAX(E$2:E115)</f>
        <v>11</v>
      </c>
      <c r="G115" s="2" t="str">
        <f aca="false">INDEX(Groups!$B$2:$B$14,F115)</f>
        <v>add9: vi, ii, iii, vii°</v>
      </c>
      <c r="H115" s="2" t="s">
        <v>18</v>
      </c>
      <c r="I115" s="2" t="n">
        <f aca="false">SUMPRODUCT((Groups!$A$2:$A$14&lt;=E115)*Groups!$C$2:$C$14)</f>
        <v>35</v>
      </c>
      <c r="J115" s="2" t="n">
        <f aca="false">D115*I115</f>
        <v>140</v>
      </c>
    </row>
    <row r="116" customFormat="false" ht="15" hidden="false" customHeight="false" outlineLevel="0" collapsed="false">
      <c r="A116" s="2" t="n">
        <v>115</v>
      </c>
      <c r="B116" s="2" t="n">
        <v>21</v>
      </c>
      <c r="C116" s="2" t="s">
        <v>44</v>
      </c>
      <c r="D116" s="2" t="n">
        <v>5</v>
      </c>
      <c r="E116" s="2" t="n">
        <v>11</v>
      </c>
      <c r="F116" s="2" t="n">
        <f aca="false">MAX(E$2:E116)</f>
        <v>11</v>
      </c>
      <c r="G116" s="2" t="str">
        <f aca="false">INDEX(Groups!$B$2:$B$14,F116)</f>
        <v>add9: vi, ii, iii, vii°</v>
      </c>
      <c r="H116" s="2" t="s">
        <v>20</v>
      </c>
      <c r="I116" s="2" t="n">
        <f aca="false">SUMPRODUCT((Groups!$A$2:$A$14&lt;=E116)*Groups!$C$2:$C$14)</f>
        <v>35</v>
      </c>
      <c r="J116" s="2" t="n">
        <f aca="false">D116*I116</f>
        <v>175</v>
      </c>
    </row>
    <row r="117" customFormat="false" ht="15" hidden="false" customHeight="false" outlineLevel="0" collapsed="false">
      <c r="A117" s="2" t="n">
        <v>116</v>
      </c>
      <c r="B117" s="2" t="n">
        <v>21</v>
      </c>
      <c r="C117" s="2" t="s">
        <v>44</v>
      </c>
      <c r="D117" s="2" t="n">
        <v>6</v>
      </c>
      <c r="E117" s="2" t="n">
        <v>11</v>
      </c>
      <c r="F117" s="2" t="n">
        <f aca="false">MAX(E$2:E117)</f>
        <v>11</v>
      </c>
      <c r="G117" s="2" t="str">
        <f aca="false">INDEX(Groups!$B$2:$B$14,F117)</f>
        <v>add9: vi, ii, iii, vii°</v>
      </c>
      <c r="H117" s="2" t="s">
        <v>23</v>
      </c>
      <c r="I117" s="2" t="n">
        <f aca="false">SUMPRODUCT((Groups!$A$2:$A$14&lt;=E117)*Groups!$C$2:$C$14)</f>
        <v>35</v>
      </c>
      <c r="J117" s="2" t="n">
        <f aca="false">D117*I117</f>
        <v>210</v>
      </c>
    </row>
    <row r="118" customFormat="false" ht="15" hidden="false" customHeight="false" outlineLevel="0" collapsed="false">
      <c r="A118" s="2" t="n">
        <v>117</v>
      </c>
      <c r="B118" s="2" t="n">
        <v>21</v>
      </c>
      <c r="C118" s="2" t="s">
        <v>44</v>
      </c>
      <c r="D118" s="2" t="n">
        <v>7</v>
      </c>
      <c r="E118" s="2" t="n">
        <v>11</v>
      </c>
      <c r="F118" s="2" t="n">
        <f aca="false">MAX(E$2:E118)</f>
        <v>11</v>
      </c>
      <c r="G118" s="2" t="str">
        <f aca="false">INDEX(Groups!$B$2:$B$14,F118)</f>
        <v>add9: vi, ii, iii, vii°</v>
      </c>
      <c r="H118" s="2" t="s">
        <v>25</v>
      </c>
      <c r="I118" s="2" t="n">
        <f aca="false">SUMPRODUCT((Groups!$A$2:$A$14&lt;=E118)*Groups!$C$2:$C$14)</f>
        <v>35</v>
      </c>
      <c r="J118" s="2" t="n">
        <f aca="false">D118*I118</f>
        <v>245</v>
      </c>
    </row>
    <row r="119" customFormat="false" ht="15" hidden="false" customHeight="false" outlineLevel="0" collapsed="false">
      <c r="A119" s="2" t="n">
        <v>118</v>
      </c>
      <c r="B119" s="2" t="n">
        <v>21</v>
      </c>
      <c r="C119" s="2" t="s">
        <v>44</v>
      </c>
      <c r="D119" s="2" t="n">
        <v>8</v>
      </c>
      <c r="E119" s="2" t="n">
        <v>11</v>
      </c>
      <c r="F119" s="2" t="n">
        <f aca="false">MAX(E$2:E119)</f>
        <v>11</v>
      </c>
      <c r="G119" s="2" t="str">
        <f aca="false">INDEX(Groups!$B$2:$B$14,F119)</f>
        <v>add9: vi, ii, iii, vii°</v>
      </c>
      <c r="H119" s="2" t="s">
        <v>27</v>
      </c>
      <c r="I119" s="2" t="n">
        <f aca="false">SUMPRODUCT((Groups!$A$2:$A$14&lt;=E119)*Groups!$C$2:$C$14)</f>
        <v>35</v>
      </c>
      <c r="J119" s="2" t="n">
        <f aca="false">D119*I119</f>
        <v>280</v>
      </c>
    </row>
    <row r="120" customFormat="false" ht="15" hidden="false" customHeight="false" outlineLevel="0" collapsed="false">
      <c r="A120" s="2" t="n">
        <v>119</v>
      </c>
      <c r="B120" s="2" t="n">
        <v>21</v>
      </c>
      <c r="C120" s="2" t="s">
        <v>44</v>
      </c>
      <c r="D120" s="2" t="n">
        <v>9</v>
      </c>
      <c r="E120" s="2" t="n">
        <v>11</v>
      </c>
      <c r="F120" s="2" t="n">
        <f aca="false">MAX(E$2:E120)</f>
        <v>11</v>
      </c>
      <c r="G120" s="2" t="str">
        <f aca="false">INDEX(Groups!$B$2:$B$14,F120)</f>
        <v>add9: vi, ii, iii, vii°</v>
      </c>
      <c r="H120" s="2" t="s">
        <v>30</v>
      </c>
      <c r="I120" s="2" t="n">
        <f aca="false">SUMPRODUCT((Groups!$A$2:$A$14&lt;=E120)*Groups!$C$2:$C$14)</f>
        <v>35</v>
      </c>
      <c r="J120" s="2" t="n">
        <f aca="false">D120*I120</f>
        <v>315</v>
      </c>
    </row>
    <row r="121" customFormat="false" ht="15" hidden="false" customHeight="false" outlineLevel="0" collapsed="false">
      <c r="A121" s="2" t="n">
        <v>120</v>
      </c>
      <c r="B121" s="2" t="n">
        <v>21</v>
      </c>
      <c r="C121" s="2" t="s">
        <v>44</v>
      </c>
      <c r="D121" s="2" t="n">
        <v>10</v>
      </c>
      <c r="E121" s="2" t="n">
        <v>11</v>
      </c>
      <c r="F121" s="2" t="n">
        <f aca="false">MAX(E$2:E121)</f>
        <v>11</v>
      </c>
      <c r="G121" s="2" t="str">
        <f aca="false">INDEX(Groups!$B$2:$B$14,F121)</f>
        <v>add9: vi, ii, iii, vii°</v>
      </c>
      <c r="H121" s="2" t="s">
        <v>32</v>
      </c>
      <c r="I121" s="2" t="n">
        <f aca="false">SUMPRODUCT((Groups!$A$2:$A$14&lt;=E121)*Groups!$C$2:$C$14)</f>
        <v>35</v>
      </c>
      <c r="J121" s="2" t="n">
        <f aca="false">D121*I121</f>
        <v>350</v>
      </c>
    </row>
    <row r="122" customFormat="false" ht="15" hidden="false" customHeight="false" outlineLevel="0" collapsed="false">
      <c r="A122" s="2" t="n">
        <v>121</v>
      </c>
      <c r="B122" s="2" t="n">
        <v>21</v>
      </c>
      <c r="C122" s="2" t="s">
        <v>44</v>
      </c>
      <c r="D122" s="2" t="n">
        <v>11</v>
      </c>
      <c r="E122" s="2" t="n">
        <v>11</v>
      </c>
      <c r="F122" s="2" t="n">
        <f aca="false">MAX(E$2:E122)</f>
        <v>11</v>
      </c>
      <c r="G122" s="2" t="str">
        <f aca="false">INDEX(Groups!$B$2:$B$14,F122)</f>
        <v>add9: vi, ii, iii, vii°</v>
      </c>
      <c r="H122" s="2" t="s">
        <v>35</v>
      </c>
      <c r="I122" s="2" t="n">
        <f aca="false">SUMPRODUCT((Groups!$A$2:$A$14&lt;=E122)*Groups!$C$2:$C$14)</f>
        <v>35</v>
      </c>
      <c r="J122" s="2" t="n">
        <f aca="false">D122*I122</f>
        <v>385</v>
      </c>
    </row>
    <row r="123" customFormat="false" ht="15" hidden="false" customHeight="false" outlineLevel="0" collapsed="false">
      <c r="A123" s="2" t="n">
        <v>122</v>
      </c>
      <c r="B123" s="2" t="n">
        <v>21</v>
      </c>
      <c r="C123" s="2" t="s">
        <v>44</v>
      </c>
      <c r="D123" s="2" t="n">
        <v>12</v>
      </c>
      <c r="E123" s="2" t="n">
        <v>11</v>
      </c>
      <c r="F123" s="2" t="n">
        <f aca="false">MAX(E$2:E123)</f>
        <v>11</v>
      </c>
      <c r="G123" s="2" t="str">
        <f aca="false">INDEX(Groups!$B$2:$B$14,F123)</f>
        <v>add9: vi, ii, iii, vii°</v>
      </c>
      <c r="H123" s="2" t="s">
        <v>37</v>
      </c>
      <c r="I123" s="2" t="n">
        <f aca="false">SUMPRODUCT((Groups!$A$2:$A$14&lt;=E123)*Groups!$C$2:$C$14)</f>
        <v>35</v>
      </c>
      <c r="J123" s="2" t="n">
        <f aca="false">D123*I123</f>
        <v>420</v>
      </c>
    </row>
    <row r="124" customFormat="false" ht="15" hidden="false" customHeight="false" outlineLevel="0" collapsed="false">
      <c r="A124" s="2" t="n">
        <v>123</v>
      </c>
      <c r="B124" s="2" t="n">
        <v>22</v>
      </c>
      <c r="C124" s="2" t="s">
        <v>45</v>
      </c>
      <c r="D124" s="2" t="n">
        <v>2</v>
      </c>
      <c r="E124" s="2" t="n">
        <v>12</v>
      </c>
      <c r="F124" s="2" t="n">
        <f aca="false">MAX(E$2:E124)</f>
        <v>12</v>
      </c>
      <c r="G124" s="2" t="str">
        <f aca="false">INDEX(Groups!$B$2:$B$14,F124)</f>
        <v>9th: I, V, IV</v>
      </c>
      <c r="H124" s="2" t="s">
        <v>14</v>
      </c>
      <c r="I124" s="2" t="n">
        <f aca="false">SUMPRODUCT((Groups!$A$2:$A$14&lt;=E124)*Groups!$C$2:$C$14)</f>
        <v>38</v>
      </c>
      <c r="J124" s="2" t="n">
        <f aca="false">D124*I124</f>
        <v>76</v>
      </c>
    </row>
    <row r="125" customFormat="false" ht="15" hidden="false" customHeight="false" outlineLevel="0" collapsed="false">
      <c r="A125" s="2" t="n">
        <v>124</v>
      </c>
      <c r="B125" s="2" t="n">
        <v>22</v>
      </c>
      <c r="C125" s="2" t="s">
        <v>45</v>
      </c>
      <c r="D125" s="2" t="n">
        <v>3</v>
      </c>
      <c r="E125" s="2" t="n">
        <v>12</v>
      </c>
      <c r="F125" s="2" t="n">
        <f aca="false">MAX(E$2:E125)</f>
        <v>12</v>
      </c>
      <c r="G125" s="2" t="str">
        <f aca="false">INDEX(Groups!$B$2:$B$14,F125)</f>
        <v>9th: I, V, IV</v>
      </c>
      <c r="H125" s="2" t="s">
        <v>16</v>
      </c>
      <c r="I125" s="2" t="n">
        <f aca="false">SUMPRODUCT((Groups!$A$2:$A$14&lt;=E125)*Groups!$C$2:$C$14)</f>
        <v>38</v>
      </c>
      <c r="J125" s="2" t="n">
        <f aca="false">D125*I125</f>
        <v>114</v>
      </c>
    </row>
    <row r="126" customFormat="false" ht="15" hidden="false" customHeight="false" outlineLevel="0" collapsed="false">
      <c r="A126" s="2" t="n">
        <v>125</v>
      </c>
      <c r="B126" s="2" t="n">
        <v>22</v>
      </c>
      <c r="C126" s="2" t="s">
        <v>45</v>
      </c>
      <c r="D126" s="2" t="n">
        <v>4</v>
      </c>
      <c r="E126" s="2" t="n">
        <v>12</v>
      </c>
      <c r="F126" s="2" t="n">
        <f aca="false">MAX(E$2:E126)</f>
        <v>12</v>
      </c>
      <c r="G126" s="2" t="str">
        <f aca="false">INDEX(Groups!$B$2:$B$14,F126)</f>
        <v>9th: I, V, IV</v>
      </c>
      <c r="H126" s="2" t="s">
        <v>18</v>
      </c>
      <c r="I126" s="2" t="n">
        <f aca="false">SUMPRODUCT((Groups!$A$2:$A$14&lt;=E126)*Groups!$C$2:$C$14)</f>
        <v>38</v>
      </c>
      <c r="J126" s="2" t="n">
        <f aca="false">D126*I126</f>
        <v>152</v>
      </c>
    </row>
    <row r="127" customFormat="false" ht="15" hidden="false" customHeight="false" outlineLevel="0" collapsed="false">
      <c r="A127" s="2" t="n">
        <v>126</v>
      </c>
      <c r="B127" s="2" t="n">
        <v>22</v>
      </c>
      <c r="C127" s="2" t="s">
        <v>45</v>
      </c>
      <c r="D127" s="2" t="n">
        <v>5</v>
      </c>
      <c r="E127" s="2" t="n">
        <v>12</v>
      </c>
      <c r="F127" s="2" t="n">
        <f aca="false">MAX(E$2:E127)</f>
        <v>12</v>
      </c>
      <c r="G127" s="2" t="str">
        <f aca="false">INDEX(Groups!$B$2:$B$14,F127)</f>
        <v>9th: I, V, IV</v>
      </c>
      <c r="H127" s="2" t="s">
        <v>20</v>
      </c>
      <c r="I127" s="2" t="n">
        <f aca="false">SUMPRODUCT((Groups!$A$2:$A$14&lt;=E127)*Groups!$C$2:$C$14)</f>
        <v>38</v>
      </c>
      <c r="J127" s="2" t="n">
        <f aca="false">D127*I127</f>
        <v>190</v>
      </c>
    </row>
    <row r="128" customFormat="false" ht="15" hidden="false" customHeight="false" outlineLevel="0" collapsed="false">
      <c r="A128" s="2" t="n">
        <v>127</v>
      </c>
      <c r="B128" s="2" t="n">
        <v>22</v>
      </c>
      <c r="C128" s="2" t="s">
        <v>45</v>
      </c>
      <c r="D128" s="2" t="n">
        <v>6</v>
      </c>
      <c r="E128" s="2" t="n">
        <v>12</v>
      </c>
      <c r="F128" s="2" t="n">
        <f aca="false">MAX(E$2:E128)</f>
        <v>12</v>
      </c>
      <c r="G128" s="2" t="str">
        <f aca="false">INDEX(Groups!$B$2:$B$14,F128)</f>
        <v>9th: I, V, IV</v>
      </c>
      <c r="H128" s="2" t="s">
        <v>23</v>
      </c>
      <c r="I128" s="2" t="n">
        <f aca="false">SUMPRODUCT((Groups!$A$2:$A$14&lt;=E128)*Groups!$C$2:$C$14)</f>
        <v>38</v>
      </c>
      <c r="J128" s="2" t="n">
        <f aca="false">D128*I128</f>
        <v>228</v>
      </c>
    </row>
    <row r="129" customFormat="false" ht="15" hidden="false" customHeight="false" outlineLevel="0" collapsed="false">
      <c r="A129" s="2" t="n">
        <v>128</v>
      </c>
      <c r="B129" s="2" t="n">
        <v>22</v>
      </c>
      <c r="C129" s="2" t="s">
        <v>45</v>
      </c>
      <c r="D129" s="2" t="n">
        <v>7</v>
      </c>
      <c r="E129" s="2" t="n">
        <v>12</v>
      </c>
      <c r="F129" s="2" t="n">
        <f aca="false">MAX(E$2:E129)</f>
        <v>12</v>
      </c>
      <c r="G129" s="2" t="str">
        <f aca="false">INDEX(Groups!$B$2:$B$14,F129)</f>
        <v>9th: I, V, IV</v>
      </c>
      <c r="H129" s="2" t="s">
        <v>25</v>
      </c>
      <c r="I129" s="2" t="n">
        <f aca="false">SUMPRODUCT((Groups!$A$2:$A$14&lt;=E129)*Groups!$C$2:$C$14)</f>
        <v>38</v>
      </c>
      <c r="J129" s="2" t="n">
        <f aca="false">D129*I129</f>
        <v>266</v>
      </c>
    </row>
    <row r="130" customFormat="false" ht="15" hidden="false" customHeight="false" outlineLevel="0" collapsed="false">
      <c r="A130" s="2" t="n">
        <v>129</v>
      </c>
      <c r="B130" s="2" t="n">
        <v>22</v>
      </c>
      <c r="C130" s="2" t="s">
        <v>45</v>
      </c>
      <c r="D130" s="2" t="n">
        <v>8</v>
      </c>
      <c r="E130" s="2" t="n">
        <v>12</v>
      </c>
      <c r="F130" s="2" t="n">
        <f aca="false">MAX(E$2:E130)</f>
        <v>12</v>
      </c>
      <c r="G130" s="2" t="str">
        <f aca="false">INDEX(Groups!$B$2:$B$14,F130)</f>
        <v>9th: I, V, IV</v>
      </c>
      <c r="H130" s="2" t="s">
        <v>27</v>
      </c>
      <c r="I130" s="2" t="n">
        <f aca="false">SUMPRODUCT((Groups!$A$2:$A$14&lt;=E130)*Groups!$C$2:$C$14)</f>
        <v>38</v>
      </c>
      <c r="J130" s="2" t="n">
        <f aca="false">D130*I130</f>
        <v>304</v>
      </c>
    </row>
    <row r="131" customFormat="false" ht="15" hidden="false" customHeight="false" outlineLevel="0" collapsed="false">
      <c r="A131" s="2" t="n">
        <v>130</v>
      </c>
      <c r="B131" s="2" t="n">
        <v>22</v>
      </c>
      <c r="C131" s="2" t="s">
        <v>45</v>
      </c>
      <c r="D131" s="2" t="n">
        <v>9</v>
      </c>
      <c r="E131" s="2" t="n">
        <v>12</v>
      </c>
      <c r="F131" s="2" t="n">
        <f aca="false">MAX(E$2:E131)</f>
        <v>12</v>
      </c>
      <c r="G131" s="2" t="str">
        <f aca="false">INDEX(Groups!$B$2:$B$14,F131)</f>
        <v>9th: I, V, IV</v>
      </c>
      <c r="H131" s="2" t="s">
        <v>30</v>
      </c>
      <c r="I131" s="2" t="n">
        <f aca="false">SUMPRODUCT((Groups!$A$2:$A$14&lt;=E131)*Groups!$C$2:$C$14)</f>
        <v>38</v>
      </c>
      <c r="J131" s="2" t="n">
        <f aca="false">D131*I131</f>
        <v>342</v>
      </c>
    </row>
    <row r="132" customFormat="false" ht="15" hidden="false" customHeight="false" outlineLevel="0" collapsed="false">
      <c r="A132" s="2" t="n">
        <v>131</v>
      </c>
      <c r="B132" s="2" t="n">
        <v>22</v>
      </c>
      <c r="C132" s="2" t="s">
        <v>45</v>
      </c>
      <c r="D132" s="2" t="n">
        <v>10</v>
      </c>
      <c r="E132" s="2" t="n">
        <v>12</v>
      </c>
      <c r="F132" s="2" t="n">
        <f aca="false">MAX(E$2:E132)</f>
        <v>12</v>
      </c>
      <c r="G132" s="2" t="str">
        <f aca="false">INDEX(Groups!$B$2:$B$14,F132)</f>
        <v>9th: I, V, IV</v>
      </c>
      <c r="H132" s="2" t="s">
        <v>32</v>
      </c>
      <c r="I132" s="2" t="n">
        <f aca="false">SUMPRODUCT((Groups!$A$2:$A$14&lt;=E132)*Groups!$C$2:$C$14)</f>
        <v>38</v>
      </c>
      <c r="J132" s="2" t="n">
        <f aca="false">D132*I132</f>
        <v>380</v>
      </c>
    </row>
    <row r="133" customFormat="false" ht="15" hidden="false" customHeight="false" outlineLevel="0" collapsed="false">
      <c r="A133" s="2" t="n">
        <v>132</v>
      </c>
      <c r="B133" s="2" t="n">
        <v>22</v>
      </c>
      <c r="C133" s="2" t="s">
        <v>45</v>
      </c>
      <c r="D133" s="2" t="n">
        <v>11</v>
      </c>
      <c r="E133" s="2" t="n">
        <v>12</v>
      </c>
      <c r="F133" s="2" t="n">
        <f aca="false">MAX(E$2:E133)</f>
        <v>12</v>
      </c>
      <c r="G133" s="2" t="str">
        <f aca="false">INDEX(Groups!$B$2:$B$14,F133)</f>
        <v>9th: I, V, IV</v>
      </c>
      <c r="H133" s="2" t="s">
        <v>35</v>
      </c>
      <c r="I133" s="2" t="n">
        <f aca="false">SUMPRODUCT((Groups!$A$2:$A$14&lt;=E133)*Groups!$C$2:$C$14)</f>
        <v>38</v>
      </c>
      <c r="J133" s="2" t="n">
        <f aca="false">D133*I133</f>
        <v>418</v>
      </c>
    </row>
    <row r="134" customFormat="false" ht="15" hidden="false" customHeight="false" outlineLevel="0" collapsed="false">
      <c r="A134" s="2" t="n">
        <v>133</v>
      </c>
      <c r="B134" s="2" t="n">
        <v>22</v>
      </c>
      <c r="C134" s="2" t="s">
        <v>45</v>
      </c>
      <c r="D134" s="2" t="n">
        <v>12</v>
      </c>
      <c r="E134" s="2" t="n">
        <v>12</v>
      </c>
      <c r="F134" s="2" t="n">
        <f aca="false">MAX(E$2:E134)</f>
        <v>12</v>
      </c>
      <c r="G134" s="2" t="str">
        <f aca="false">INDEX(Groups!$B$2:$B$14,F134)</f>
        <v>9th: I, V, IV</v>
      </c>
      <c r="H134" s="2" t="s">
        <v>37</v>
      </c>
      <c r="I134" s="2" t="n">
        <f aca="false">SUMPRODUCT((Groups!$A$2:$A$14&lt;=E134)*Groups!$C$2:$C$14)</f>
        <v>38</v>
      </c>
      <c r="J134" s="2" t="n">
        <f aca="false">D134*I134</f>
        <v>456</v>
      </c>
    </row>
    <row r="135" customFormat="false" ht="15" hidden="false" customHeight="false" outlineLevel="0" collapsed="false">
      <c r="A135" s="2" t="n">
        <v>134</v>
      </c>
      <c r="B135" s="2" t="n">
        <v>23</v>
      </c>
      <c r="C135" s="2" t="s">
        <v>46</v>
      </c>
      <c r="D135" s="2" t="n">
        <v>2</v>
      </c>
      <c r="E135" s="2" t="n">
        <v>13</v>
      </c>
      <c r="F135" s="2" t="n">
        <f aca="false">MAX(E$2:E135)</f>
        <v>13</v>
      </c>
      <c r="G135" s="2" t="str">
        <f aca="false">INDEX(Groups!$B$2:$B$14,F135)</f>
        <v>9th: vi, ii, iii, vii°</v>
      </c>
      <c r="H135" s="2" t="s">
        <v>14</v>
      </c>
      <c r="I135" s="2" t="n">
        <f aca="false">SUMPRODUCT((Groups!$A$2:$A$14&lt;=E135)*Groups!$C$2:$C$14)</f>
        <v>42</v>
      </c>
      <c r="J135" s="2" t="n">
        <f aca="false">D135*I135</f>
        <v>84</v>
      </c>
    </row>
    <row r="136" customFormat="false" ht="15" hidden="false" customHeight="false" outlineLevel="0" collapsed="false">
      <c r="A136" s="2" t="n">
        <v>135</v>
      </c>
      <c r="B136" s="2" t="n">
        <v>23</v>
      </c>
      <c r="C136" s="2" t="s">
        <v>46</v>
      </c>
      <c r="D136" s="2" t="n">
        <v>3</v>
      </c>
      <c r="E136" s="2" t="n">
        <v>13</v>
      </c>
      <c r="F136" s="2" t="n">
        <f aca="false">MAX(E$2:E136)</f>
        <v>13</v>
      </c>
      <c r="G136" s="2" t="str">
        <f aca="false">INDEX(Groups!$B$2:$B$14,F136)</f>
        <v>9th: vi, ii, iii, vii°</v>
      </c>
      <c r="H136" s="2" t="s">
        <v>16</v>
      </c>
      <c r="I136" s="2" t="n">
        <f aca="false">SUMPRODUCT((Groups!$A$2:$A$14&lt;=E136)*Groups!$C$2:$C$14)</f>
        <v>42</v>
      </c>
      <c r="J136" s="2" t="n">
        <f aca="false">D136*I136</f>
        <v>126</v>
      </c>
    </row>
    <row r="137" customFormat="false" ht="15" hidden="false" customHeight="false" outlineLevel="0" collapsed="false">
      <c r="A137" s="2" t="n">
        <v>136</v>
      </c>
      <c r="B137" s="2" t="n">
        <v>23</v>
      </c>
      <c r="C137" s="2" t="s">
        <v>46</v>
      </c>
      <c r="D137" s="2" t="n">
        <v>4</v>
      </c>
      <c r="E137" s="2" t="n">
        <v>13</v>
      </c>
      <c r="F137" s="2" t="n">
        <f aca="false">MAX(E$2:E137)</f>
        <v>13</v>
      </c>
      <c r="G137" s="2" t="str">
        <f aca="false">INDEX(Groups!$B$2:$B$14,F137)</f>
        <v>9th: vi, ii, iii, vii°</v>
      </c>
      <c r="H137" s="2" t="s">
        <v>18</v>
      </c>
      <c r="I137" s="2" t="n">
        <f aca="false">SUMPRODUCT((Groups!$A$2:$A$14&lt;=E137)*Groups!$C$2:$C$14)</f>
        <v>42</v>
      </c>
      <c r="J137" s="2" t="n">
        <f aca="false">D137*I137</f>
        <v>168</v>
      </c>
    </row>
    <row r="138" customFormat="false" ht="15" hidden="false" customHeight="false" outlineLevel="0" collapsed="false">
      <c r="A138" s="2" t="n">
        <v>137</v>
      </c>
      <c r="B138" s="2" t="n">
        <v>23</v>
      </c>
      <c r="C138" s="2" t="s">
        <v>46</v>
      </c>
      <c r="D138" s="2" t="n">
        <v>5</v>
      </c>
      <c r="E138" s="2" t="n">
        <v>13</v>
      </c>
      <c r="F138" s="2" t="n">
        <f aca="false">MAX(E$2:E138)</f>
        <v>13</v>
      </c>
      <c r="G138" s="2" t="str">
        <f aca="false">INDEX(Groups!$B$2:$B$14,F138)</f>
        <v>9th: vi, ii, iii, vii°</v>
      </c>
      <c r="H138" s="2" t="s">
        <v>20</v>
      </c>
      <c r="I138" s="2" t="n">
        <f aca="false">SUMPRODUCT((Groups!$A$2:$A$14&lt;=E138)*Groups!$C$2:$C$14)</f>
        <v>42</v>
      </c>
      <c r="J138" s="2" t="n">
        <f aca="false">D138*I138</f>
        <v>210</v>
      </c>
    </row>
    <row r="139" customFormat="false" ht="15" hidden="false" customHeight="false" outlineLevel="0" collapsed="false">
      <c r="A139" s="2" t="n">
        <v>138</v>
      </c>
      <c r="B139" s="2" t="n">
        <v>23</v>
      </c>
      <c r="C139" s="2" t="s">
        <v>46</v>
      </c>
      <c r="D139" s="2" t="n">
        <v>6</v>
      </c>
      <c r="E139" s="2" t="n">
        <v>13</v>
      </c>
      <c r="F139" s="2" t="n">
        <f aca="false">MAX(E$2:E139)</f>
        <v>13</v>
      </c>
      <c r="G139" s="2" t="str">
        <f aca="false">INDEX(Groups!$B$2:$B$14,F139)</f>
        <v>9th: vi, ii, iii, vii°</v>
      </c>
      <c r="H139" s="2" t="s">
        <v>23</v>
      </c>
      <c r="I139" s="2" t="n">
        <f aca="false">SUMPRODUCT((Groups!$A$2:$A$14&lt;=E139)*Groups!$C$2:$C$14)</f>
        <v>42</v>
      </c>
      <c r="J139" s="2" t="n">
        <f aca="false">D139*I139</f>
        <v>252</v>
      </c>
    </row>
    <row r="140" customFormat="false" ht="15" hidden="false" customHeight="false" outlineLevel="0" collapsed="false">
      <c r="A140" s="2" t="n">
        <v>139</v>
      </c>
      <c r="B140" s="2" t="n">
        <v>23</v>
      </c>
      <c r="C140" s="2" t="s">
        <v>46</v>
      </c>
      <c r="D140" s="2" t="n">
        <v>7</v>
      </c>
      <c r="E140" s="2" t="n">
        <v>13</v>
      </c>
      <c r="F140" s="2" t="n">
        <f aca="false">MAX(E$2:E140)</f>
        <v>13</v>
      </c>
      <c r="G140" s="2" t="str">
        <f aca="false">INDEX(Groups!$B$2:$B$14,F140)</f>
        <v>9th: vi, ii, iii, vii°</v>
      </c>
      <c r="H140" s="2" t="s">
        <v>25</v>
      </c>
      <c r="I140" s="2" t="n">
        <f aca="false">SUMPRODUCT((Groups!$A$2:$A$14&lt;=E140)*Groups!$C$2:$C$14)</f>
        <v>42</v>
      </c>
      <c r="J140" s="2" t="n">
        <f aca="false">D140*I140</f>
        <v>294</v>
      </c>
    </row>
    <row r="141" customFormat="false" ht="15" hidden="false" customHeight="false" outlineLevel="0" collapsed="false">
      <c r="A141" s="2" t="n">
        <v>140</v>
      </c>
      <c r="B141" s="2" t="n">
        <v>23</v>
      </c>
      <c r="C141" s="2" t="s">
        <v>46</v>
      </c>
      <c r="D141" s="2" t="n">
        <v>8</v>
      </c>
      <c r="E141" s="2" t="n">
        <v>13</v>
      </c>
      <c r="F141" s="2" t="n">
        <f aca="false">MAX(E$2:E141)</f>
        <v>13</v>
      </c>
      <c r="G141" s="2" t="str">
        <f aca="false">INDEX(Groups!$B$2:$B$14,F141)</f>
        <v>9th: vi, ii, iii, vii°</v>
      </c>
      <c r="H141" s="2" t="s">
        <v>27</v>
      </c>
      <c r="I141" s="2" t="n">
        <f aca="false">SUMPRODUCT((Groups!$A$2:$A$14&lt;=E141)*Groups!$C$2:$C$14)</f>
        <v>42</v>
      </c>
      <c r="J141" s="2" t="n">
        <f aca="false">D141*I141</f>
        <v>336</v>
      </c>
    </row>
    <row r="142" customFormat="false" ht="15" hidden="false" customHeight="false" outlineLevel="0" collapsed="false">
      <c r="A142" s="2" t="n">
        <v>141</v>
      </c>
      <c r="B142" s="2" t="n">
        <v>23</v>
      </c>
      <c r="C142" s="2" t="s">
        <v>46</v>
      </c>
      <c r="D142" s="2" t="n">
        <v>9</v>
      </c>
      <c r="E142" s="2" t="n">
        <v>13</v>
      </c>
      <c r="F142" s="2" t="n">
        <f aca="false">MAX(E$2:E142)</f>
        <v>13</v>
      </c>
      <c r="G142" s="2" t="str">
        <f aca="false">INDEX(Groups!$B$2:$B$14,F142)</f>
        <v>9th: vi, ii, iii, vii°</v>
      </c>
      <c r="H142" s="2" t="s">
        <v>30</v>
      </c>
      <c r="I142" s="2" t="n">
        <f aca="false">SUMPRODUCT((Groups!$A$2:$A$14&lt;=E142)*Groups!$C$2:$C$14)</f>
        <v>42</v>
      </c>
      <c r="J142" s="2" t="n">
        <f aca="false">D142*I142</f>
        <v>378</v>
      </c>
    </row>
    <row r="143" customFormat="false" ht="15" hidden="false" customHeight="false" outlineLevel="0" collapsed="false">
      <c r="A143" s="2" t="n">
        <v>142</v>
      </c>
      <c r="B143" s="2" t="n">
        <v>23</v>
      </c>
      <c r="C143" s="2" t="s">
        <v>46</v>
      </c>
      <c r="D143" s="2" t="n">
        <v>10</v>
      </c>
      <c r="E143" s="2" t="n">
        <v>13</v>
      </c>
      <c r="F143" s="2" t="n">
        <f aca="false">MAX(E$2:E143)</f>
        <v>13</v>
      </c>
      <c r="G143" s="2" t="str">
        <f aca="false">INDEX(Groups!$B$2:$B$14,F143)</f>
        <v>9th: vi, ii, iii, vii°</v>
      </c>
      <c r="H143" s="2" t="s">
        <v>32</v>
      </c>
      <c r="I143" s="2" t="n">
        <f aca="false">SUMPRODUCT((Groups!$A$2:$A$14&lt;=E143)*Groups!$C$2:$C$14)</f>
        <v>42</v>
      </c>
      <c r="J143" s="2" t="n">
        <f aca="false">D143*I143</f>
        <v>420</v>
      </c>
    </row>
    <row r="144" customFormat="false" ht="15" hidden="false" customHeight="false" outlineLevel="0" collapsed="false">
      <c r="A144" s="2" t="n">
        <v>143</v>
      </c>
      <c r="B144" s="2" t="n">
        <v>23</v>
      </c>
      <c r="C144" s="2" t="s">
        <v>46</v>
      </c>
      <c r="D144" s="2" t="n">
        <v>11</v>
      </c>
      <c r="E144" s="2" t="n">
        <v>13</v>
      </c>
      <c r="F144" s="2" t="n">
        <f aca="false">MAX(E$2:E144)</f>
        <v>13</v>
      </c>
      <c r="G144" s="2" t="str">
        <f aca="false">INDEX(Groups!$B$2:$B$14,F144)</f>
        <v>9th: vi, ii, iii, vii°</v>
      </c>
      <c r="H144" s="2" t="s">
        <v>35</v>
      </c>
      <c r="I144" s="2" t="n">
        <f aca="false">SUMPRODUCT((Groups!$A$2:$A$14&lt;=E144)*Groups!$C$2:$C$14)</f>
        <v>42</v>
      </c>
      <c r="J144" s="2" t="n">
        <f aca="false">D144*I144</f>
        <v>462</v>
      </c>
    </row>
    <row r="145" customFormat="false" ht="15" hidden="false" customHeight="false" outlineLevel="0" collapsed="false">
      <c r="A145" s="2" t="n">
        <v>144</v>
      </c>
      <c r="B145" s="2" t="n">
        <v>23</v>
      </c>
      <c r="C145" s="2" t="s">
        <v>46</v>
      </c>
      <c r="D145" s="2" t="n">
        <v>12</v>
      </c>
      <c r="E145" s="2" t="n">
        <v>13</v>
      </c>
      <c r="F145" s="2" t="n">
        <f aca="false">MAX(E$2:E145)</f>
        <v>13</v>
      </c>
      <c r="G145" s="2" t="str">
        <f aca="false">INDEX(Groups!$B$2:$B$14,F145)</f>
        <v>9th: vi, ii, iii, vii°</v>
      </c>
      <c r="H145" s="2" t="s">
        <v>37</v>
      </c>
      <c r="I145" s="2" t="n">
        <f aca="false">SUMPRODUCT((Groups!$A$2:$A$14&lt;=E145)*Groups!$C$2:$C$14)</f>
        <v>42</v>
      </c>
      <c r="J145" s="2" t="n">
        <f aca="false">D145*I145</f>
        <v>504</v>
      </c>
    </row>
  </sheetData>
  <autoFilter ref="A1:J1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2"/>
  </cols>
  <sheetData>
    <row r="1" customFormat="false" ht="26.85" hidden="false" customHeight="false" outlineLevel="0" collapsed="false">
      <c r="A1" s="1" t="s">
        <v>47</v>
      </c>
      <c r="B1" s="1" t="s">
        <v>48</v>
      </c>
      <c r="C1" s="1" t="s">
        <v>49</v>
      </c>
    </row>
    <row r="2" customFormat="false" ht="15" hidden="false" customHeight="false" outlineLevel="0" collapsed="false">
      <c r="A2" s="2" t="n">
        <v>1</v>
      </c>
      <c r="B2" s="2" t="s">
        <v>50</v>
      </c>
      <c r="C2" s="2" t="n">
        <v>4</v>
      </c>
    </row>
    <row r="3" customFormat="false" ht="15" hidden="false" customHeight="false" outlineLevel="0" collapsed="false">
      <c r="A3" s="2" t="n">
        <v>2</v>
      </c>
      <c r="B3" s="2" t="s">
        <v>51</v>
      </c>
      <c r="C3" s="2" t="n">
        <v>2</v>
      </c>
    </row>
    <row r="4" customFormat="false" ht="15" hidden="false" customHeight="false" outlineLevel="0" collapsed="false">
      <c r="A4" s="2" t="n">
        <v>3</v>
      </c>
      <c r="B4" s="2" t="s">
        <v>52</v>
      </c>
      <c r="C4" s="2" t="n">
        <v>4</v>
      </c>
    </row>
    <row r="5" customFormat="false" ht="15" hidden="false" customHeight="false" outlineLevel="0" collapsed="false">
      <c r="A5" s="2" t="n">
        <v>4</v>
      </c>
      <c r="B5" s="2" t="s">
        <v>53</v>
      </c>
      <c r="C5" s="2" t="n">
        <v>2</v>
      </c>
    </row>
    <row r="6" customFormat="false" ht="15" hidden="false" customHeight="false" outlineLevel="0" collapsed="false">
      <c r="A6" s="2" t="n">
        <v>5</v>
      </c>
      <c r="B6" s="2" t="s">
        <v>54</v>
      </c>
      <c r="C6" s="2" t="n">
        <v>2</v>
      </c>
    </row>
    <row r="7" customFormat="false" ht="15" hidden="false" customHeight="false" outlineLevel="0" collapsed="false">
      <c r="A7" s="2" t="n">
        <v>6</v>
      </c>
      <c r="B7" s="2" t="s">
        <v>55</v>
      </c>
      <c r="C7" s="2" t="n">
        <v>3</v>
      </c>
    </row>
    <row r="8" customFormat="false" ht="15" hidden="false" customHeight="false" outlineLevel="0" collapsed="false">
      <c r="A8" s="2" t="n">
        <v>7</v>
      </c>
      <c r="B8" s="2" t="s">
        <v>56</v>
      </c>
      <c r="C8" s="2" t="n">
        <v>4</v>
      </c>
    </row>
    <row r="9" customFormat="false" ht="15" hidden="false" customHeight="false" outlineLevel="0" collapsed="false">
      <c r="A9" s="2" t="n">
        <v>8</v>
      </c>
      <c r="B9" s="2" t="s">
        <v>57</v>
      </c>
      <c r="C9" s="2" t="n">
        <v>3</v>
      </c>
    </row>
    <row r="10" customFormat="false" ht="15" hidden="false" customHeight="false" outlineLevel="0" collapsed="false">
      <c r="A10" s="2" t="n">
        <v>9</v>
      </c>
      <c r="B10" s="2" t="s">
        <v>58</v>
      </c>
      <c r="C10" s="2" t="n">
        <v>4</v>
      </c>
    </row>
    <row r="11" customFormat="false" ht="15" hidden="false" customHeight="false" outlineLevel="0" collapsed="false">
      <c r="A11" s="2" t="n">
        <v>10</v>
      </c>
      <c r="B11" s="2" t="s">
        <v>59</v>
      </c>
      <c r="C11" s="2" t="n">
        <v>3</v>
      </c>
    </row>
    <row r="12" customFormat="false" ht="15" hidden="false" customHeight="false" outlineLevel="0" collapsed="false">
      <c r="A12" s="2" t="n">
        <v>11</v>
      </c>
      <c r="B12" s="2" t="s">
        <v>60</v>
      </c>
      <c r="C12" s="2" t="n">
        <v>4</v>
      </c>
    </row>
    <row r="13" customFormat="false" ht="15" hidden="false" customHeight="false" outlineLevel="0" collapsed="false">
      <c r="A13" s="2" t="n">
        <v>12</v>
      </c>
      <c r="B13" s="2" t="s">
        <v>61</v>
      </c>
      <c r="C13" s="2" t="n">
        <v>3</v>
      </c>
    </row>
    <row r="14" customFormat="false" ht="15" hidden="false" customHeight="false" outlineLevel="0" collapsed="false">
      <c r="A14" s="2" t="n">
        <v>13</v>
      </c>
      <c r="B14" s="2" t="s">
        <v>62</v>
      </c>
      <c r="C14" s="2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1" t="s">
        <v>63</v>
      </c>
      <c r="B1" s="1" t="s">
        <v>64</v>
      </c>
    </row>
    <row r="2" customFormat="false" ht="15" hidden="false" customHeight="false" outlineLevel="0" collapsed="false">
      <c r="A2" s="2" t="n">
        <v>1</v>
      </c>
      <c r="B2" s="2" t="s">
        <v>12</v>
      </c>
    </row>
    <row r="3" customFormat="false" ht="15" hidden="false" customHeight="false" outlineLevel="0" collapsed="false">
      <c r="A3" s="2" t="n">
        <v>2</v>
      </c>
      <c r="B3" s="2" t="s">
        <v>65</v>
      </c>
    </row>
    <row r="4" customFormat="false" ht="15" hidden="false" customHeight="false" outlineLevel="0" collapsed="false">
      <c r="A4" s="2" t="n">
        <v>3</v>
      </c>
      <c r="B4" s="2" t="s">
        <v>66</v>
      </c>
    </row>
    <row r="5" customFormat="false" ht="15" hidden="false" customHeight="false" outlineLevel="0" collapsed="false">
      <c r="A5" s="2" t="n">
        <v>4</v>
      </c>
      <c r="B5" s="2" t="s">
        <v>67</v>
      </c>
    </row>
    <row r="6" customFormat="false" ht="15" hidden="false" customHeight="false" outlineLevel="0" collapsed="false">
      <c r="A6" s="2" t="n">
        <v>5</v>
      </c>
      <c r="B6" s="2" t="s">
        <v>68</v>
      </c>
    </row>
    <row r="7" customFormat="false" ht="15" hidden="false" customHeight="false" outlineLevel="0" collapsed="false">
      <c r="A7" s="2" t="n">
        <v>6</v>
      </c>
      <c r="B7" s="2" t="s">
        <v>69</v>
      </c>
    </row>
    <row r="8" customFormat="false" ht="15" hidden="false" customHeight="false" outlineLevel="0" collapsed="false">
      <c r="A8" s="2" t="n">
        <v>7</v>
      </c>
      <c r="B8" s="2" t="s">
        <v>70</v>
      </c>
    </row>
    <row r="9" customFormat="false" ht="15" hidden="false" customHeight="false" outlineLevel="0" collapsed="false">
      <c r="A9" s="2" t="n">
        <v>8</v>
      </c>
      <c r="B9" s="2" t="s">
        <v>71</v>
      </c>
    </row>
    <row r="10" customFormat="false" ht="15" hidden="false" customHeight="false" outlineLevel="0" collapsed="false">
      <c r="A10" s="2" t="n">
        <v>9</v>
      </c>
      <c r="B10" s="2" t="s">
        <v>72</v>
      </c>
    </row>
    <row r="11" customFormat="false" ht="15" hidden="false" customHeight="false" outlineLevel="0" collapsed="false">
      <c r="A11" s="2" t="n">
        <v>10</v>
      </c>
      <c r="B11" s="2" t="s">
        <v>73</v>
      </c>
    </row>
    <row r="12" customFormat="false" ht="15" hidden="false" customHeight="false" outlineLevel="0" collapsed="false">
      <c r="A12" s="2" t="n">
        <v>11</v>
      </c>
      <c r="B12" s="2" t="s">
        <v>74</v>
      </c>
    </row>
    <row r="13" customFormat="false" ht="15" hidden="false" customHeight="false" outlineLevel="0" collapsed="false">
      <c r="A13" s="2" t="n">
        <v>12</v>
      </c>
      <c r="B13" s="2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4" min="3" style="0" width="12"/>
  </cols>
  <sheetData>
    <row r="1" customFormat="false" ht="15" hidden="false" customHeight="false" outlineLevel="0" collapsed="false">
      <c r="A1" s="1" t="s">
        <v>76</v>
      </c>
      <c r="B1" s="1" t="s">
        <v>77</v>
      </c>
      <c r="C1" s="1" t="s">
        <v>78</v>
      </c>
      <c r="D1" s="1" t="s">
        <v>79</v>
      </c>
    </row>
    <row r="2" customFormat="false" ht="15" hidden="false" customHeight="false" outlineLevel="0" collapsed="false">
      <c r="A2" s="2" t="s">
        <v>80</v>
      </c>
      <c r="B2" s="2" t="s">
        <v>81</v>
      </c>
      <c r="C2" s="2" t="n">
        <v>1</v>
      </c>
      <c r="D2" s="2" t="n">
        <v>1</v>
      </c>
    </row>
    <row r="3" customFormat="false" ht="15" hidden="false" customHeight="false" outlineLevel="0" collapsed="false">
      <c r="A3" s="2" t="n">
        <v>1</v>
      </c>
      <c r="B3" s="2" t="s">
        <v>82</v>
      </c>
      <c r="C3" s="2" t="n">
        <v>2</v>
      </c>
      <c r="D3" s="2" t="n">
        <v>2</v>
      </c>
    </row>
    <row r="4" customFormat="false" ht="15" hidden="false" customHeight="false" outlineLevel="0" collapsed="false">
      <c r="A4" s="2" t="n">
        <v>2</v>
      </c>
      <c r="B4" s="2" t="s">
        <v>83</v>
      </c>
      <c r="C4" s="2" t="n">
        <v>3</v>
      </c>
      <c r="D4" s="2" t="n">
        <v>3</v>
      </c>
    </row>
    <row r="5" customFormat="false" ht="15" hidden="false" customHeight="false" outlineLevel="0" collapsed="false">
      <c r="A5" s="2" t="n">
        <v>3</v>
      </c>
      <c r="B5" s="2" t="s">
        <v>84</v>
      </c>
      <c r="C5" s="2" t="n">
        <v>4</v>
      </c>
      <c r="D5" s="2" t="n">
        <v>4</v>
      </c>
    </row>
    <row r="6" customFormat="false" ht="15" hidden="false" customHeight="false" outlineLevel="0" collapsed="false">
      <c r="A6" s="2" t="n">
        <v>4</v>
      </c>
      <c r="B6" s="2" t="s">
        <v>85</v>
      </c>
      <c r="C6" s="2" t="n">
        <v>5</v>
      </c>
      <c r="D6" s="2" t="n">
        <v>5</v>
      </c>
    </row>
    <row r="7" customFormat="false" ht="15" hidden="false" customHeight="false" outlineLevel="0" collapsed="false">
      <c r="A7" s="2" t="n">
        <v>5</v>
      </c>
      <c r="B7" s="2" t="s">
        <v>86</v>
      </c>
      <c r="C7" s="2" t="n">
        <v>6</v>
      </c>
      <c r="D7" s="2" t="n">
        <v>9</v>
      </c>
    </row>
    <row r="8" customFormat="false" ht="15" hidden="false" customHeight="false" outlineLevel="0" collapsed="false">
      <c r="A8" s="2" t="n">
        <v>6</v>
      </c>
      <c r="B8" s="2" t="s">
        <v>87</v>
      </c>
      <c r="C8" s="2" t="n">
        <v>10</v>
      </c>
      <c r="D8" s="2" t="n">
        <v>11</v>
      </c>
    </row>
    <row r="9" customFormat="false" ht="15" hidden="false" customHeight="false" outlineLevel="0" collapsed="false">
      <c r="A9" s="2" t="n">
        <v>7</v>
      </c>
      <c r="B9" s="2" t="s">
        <v>88</v>
      </c>
      <c r="C9" s="2" t="n">
        <v>12</v>
      </c>
      <c r="D9" s="2" t="n">
        <v>13</v>
      </c>
    </row>
    <row r="10" customFormat="false" ht="15" hidden="false" customHeight="false" outlineLevel="0" collapsed="false">
      <c r="A10" s="2" t="n">
        <v>8</v>
      </c>
      <c r="B10" s="2" t="s">
        <v>89</v>
      </c>
      <c r="C10" s="2" t="n">
        <v>14</v>
      </c>
      <c r="D10" s="2" t="n">
        <v>15</v>
      </c>
    </row>
    <row r="11" customFormat="false" ht="15" hidden="false" customHeight="false" outlineLevel="0" collapsed="false">
      <c r="A11" s="2" t="n">
        <v>9</v>
      </c>
      <c r="B11" s="2" t="s">
        <v>90</v>
      </c>
      <c r="C11" s="2" t="n">
        <v>16</v>
      </c>
      <c r="D11" s="2" t="n">
        <v>22</v>
      </c>
    </row>
    <row r="12" customFormat="false" ht="15" hidden="false" customHeight="false" outlineLevel="0" collapsed="false">
      <c r="A12" s="2" t="n">
        <v>10</v>
      </c>
      <c r="B12" s="2" t="s">
        <v>91</v>
      </c>
      <c r="C12" s="2" t="n">
        <v>23</v>
      </c>
      <c r="D12" s="2" t="n">
        <v>25</v>
      </c>
    </row>
    <row r="13" customFormat="false" ht="15" hidden="false" customHeight="false" outlineLevel="0" collapsed="false">
      <c r="A13" s="2" t="n">
        <v>11</v>
      </c>
      <c r="B13" s="2" t="s">
        <v>92</v>
      </c>
      <c r="C13" s="2" t="n">
        <v>26</v>
      </c>
      <c r="D13" s="2" t="n">
        <v>28</v>
      </c>
    </row>
    <row r="14" customFormat="false" ht="15" hidden="false" customHeight="false" outlineLevel="0" collapsed="false">
      <c r="A14" s="2" t="n">
        <v>12</v>
      </c>
      <c r="B14" s="2" t="s">
        <v>93</v>
      </c>
      <c r="C14" s="2" t="n">
        <v>29</v>
      </c>
      <c r="D14" s="2" t="n">
        <v>37</v>
      </c>
    </row>
    <row r="15" customFormat="false" ht="15" hidden="false" customHeight="false" outlineLevel="0" collapsed="false">
      <c r="A15" s="2" t="n">
        <v>13</v>
      </c>
      <c r="B15" s="2" t="s">
        <v>94</v>
      </c>
      <c r="C15" s="2" t="n">
        <v>38</v>
      </c>
      <c r="D15" s="2" t="n">
        <v>41</v>
      </c>
    </row>
    <row r="16" customFormat="false" ht="15" hidden="false" customHeight="false" outlineLevel="0" collapsed="false">
      <c r="A16" s="2" t="n">
        <v>14</v>
      </c>
      <c r="B16" s="2" t="s">
        <v>95</v>
      </c>
      <c r="C16" s="2" t="n">
        <v>42</v>
      </c>
      <c r="D16" s="2" t="n">
        <v>45</v>
      </c>
    </row>
    <row r="17" customFormat="false" ht="15" hidden="false" customHeight="false" outlineLevel="0" collapsed="false">
      <c r="A17" s="2" t="n">
        <v>15</v>
      </c>
      <c r="B17" s="2" t="s">
        <v>96</v>
      </c>
      <c r="C17" s="2" t="n">
        <v>46</v>
      </c>
      <c r="D17" s="2" t="n">
        <v>56</v>
      </c>
    </row>
    <row r="18" customFormat="false" ht="15" hidden="false" customHeight="false" outlineLevel="0" collapsed="false">
      <c r="A18" s="2" t="n">
        <v>16</v>
      </c>
      <c r="B18" s="2" t="s">
        <v>97</v>
      </c>
      <c r="C18" s="2" t="n">
        <v>57</v>
      </c>
      <c r="D18" s="2" t="n">
        <v>67</v>
      </c>
    </row>
    <row r="19" customFormat="false" ht="15" hidden="false" customHeight="false" outlineLevel="0" collapsed="false">
      <c r="A19" s="2" t="n">
        <v>17</v>
      </c>
      <c r="B19" s="2" t="s">
        <v>98</v>
      </c>
      <c r="C19" s="2" t="n">
        <v>68</v>
      </c>
      <c r="D19" s="2" t="n">
        <v>78</v>
      </c>
    </row>
    <row r="20" customFormat="false" ht="15" hidden="false" customHeight="false" outlineLevel="0" collapsed="false">
      <c r="A20" s="2" t="n">
        <v>18</v>
      </c>
      <c r="B20" s="2" t="s">
        <v>99</v>
      </c>
      <c r="C20" s="2" t="n">
        <v>79</v>
      </c>
      <c r="D20" s="2" t="n">
        <v>89</v>
      </c>
    </row>
    <row r="21" customFormat="false" ht="15" hidden="false" customHeight="false" outlineLevel="0" collapsed="false">
      <c r="A21" s="2" t="n">
        <v>19</v>
      </c>
      <c r="B21" s="2" t="s">
        <v>100</v>
      </c>
      <c r="C21" s="2" t="n">
        <v>90</v>
      </c>
      <c r="D21" s="2" t="n">
        <v>100</v>
      </c>
    </row>
    <row r="22" customFormat="false" ht="15" hidden="false" customHeight="false" outlineLevel="0" collapsed="false">
      <c r="A22" s="2" t="n">
        <v>20</v>
      </c>
      <c r="B22" s="2" t="s">
        <v>101</v>
      </c>
      <c r="C22" s="2" t="n">
        <v>101</v>
      </c>
      <c r="D22" s="2" t="n">
        <v>111</v>
      </c>
    </row>
    <row r="23" customFormat="false" ht="15" hidden="false" customHeight="false" outlineLevel="0" collapsed="false">
      <c r="A23" s="2" t="n">
        <v>21</v>
      </c>
      <c r="B23" s="2" t="s">
        <v>102</v>
      </c>
      <c r="C23" s="2" t="n">
        <v>112</v>
      </c>
      <c r="D23" s="2" t="n">
        <v>122</v>
      </c>
    </row>
    <row r="24" customFormat="false" ht="15" hidden="false" customHeight="false" outlineLevel="0" collapsed="false">
      <c r="A24" s="2" t="n">
        <v>22</v>
      </c>
      <c r="B24" s="2" t="s">
        <v>103</v>
      </c>
      <c r="C24" s="2" t="n">
        <v>123</v>
      </c>
      <c r="D24" s="2" t="n">
        <v>133</v>
      </c>
    </row>
    <row r="25" customFormat="false" ht="15" hidden="false" customHeight="false" outlineLevel="0" collapsed="false">
      <c r="A25" s="2" t="n">
        <v>23</v>
      </c>
      <c r="B25" s="2" t="s">
        <v>104</v>
      </c>
      <c r="C25" s="2" t="n">
        <v>134</v>
      </c>
      <c r="D25" s="2" t="n">
        <v>144</v>
      </c>
    </row>
    <row r="28" customFormat="false" ht="15" hidden="false" customHeight="false" outlineLevel="0" collapsed="false">
      <c r="A28" s="3" t="s">
        <v>105</v>
      </c>
    </row>
    <row r="29" customFormat="false" ht="15" hidden="false" customHeight="false" outlineLevel="0" collapsed="false">
      <c r="A29" s="2" t="s">
        <v>106</v>
      </c>
    </row>
    <row r="30" customFormat="false" ht="15" hidden="false" customHeight="false" outlineLevel="0" collapsed="false">
      <c r="A30" s="2" t="s">
        <v>107</v>
      </c>
    </row>
    <row r="31" customFormat="false" ht="15" hidden="false" customHeight="false" outlineLevel="0" collapsed="false">
      <c r="A31" s="2" t="s">
        <v>108</v>
      </c>
    </row>
    <row r="32" customFormat="false" ht="15" hidden="false" customHeight="false" outlineLevel="0" collapsed="false">
      <c r="A32" s="2" t="s">
        <v>109</v>
      </c>
    </row>
    <row r="33" customFormat="false" ht="15" hidden="false" customHeight="false" outlineLevel="0" collapsed="false">
      <c r="A33" s="2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2026-10-22T17:33:12Z</dcterms:created>
  <dc:creator>openpyxl</dc:creator>
  <dc:description/>
  <dc:language>en-US</dc:language>
  <cp:lastModifiedBy/>
  <dcterms:modified xsi:type="dcterms:W3CDTF">2026-10-22T17:33:12Z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