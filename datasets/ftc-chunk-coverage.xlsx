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age" sheetId="1" state="visible" r:id="rId3"/>
    <sheet name="Chord shares" sheetId="2" state="visible" r:id="rId4"/>
    <sheet name="Key shar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<sst xmlns="http://schemas.openxmlformats.org/spreadsheetml/2006/main" count="105" uniqueCount="84">
  <si>
    <t xml:space="preserve">Rough coverage by chunk (major mode; minor uses the relative minors)</t>
  </si>
  <si>
    <t xml:space="preserve">Song-level exponent (typical number of independent chances for a song to use a chord outside the set):</t>
  </si>
  <si>
    <t xml:space="preserve">Pop</t>
  </si>
  <si>
    <t xml:space="preserve">Jazz</t>
  </si>
  <si>
    <t xml:space="preserve">A song needs all of its chords, so the estimate is (chord-use coverage) ^ exponent × key coverage. Higher exponent = harsher.</t>
  </si>
  <si>
    <t xml:space="preserve">Chunk</t>
  </si>
  <si>
    <t xml:space="preserve">Levels</t>
  </si>
  <si>
    <t xml:space="preserve">Keys available at chunk end</t>
  </si>
  <si>
    <t xml:space="preserve">Chords added in this chunk</t>
  </si>
  <si>
    <t xml:space="preserve">Pop: chord use added</t>
  </si>
  <si>
    <t xml:space="preserve">Pop: chord use, cumulative</t>
  </si>
  <si>
    <t xml:space="preserve">Pop: key coverage, cumulative</t>
  </si>
  <si>
    <t xml:space="preserve">Pop: songs playable, cumulative</t>
  </si>
  <si>
    <t xml:space="preserve">Pop: songs added by this chunk</t>
  </si>
  <si>
    <t xml:space="preserve">Jazz: chord use added</t>
  </si>
  <si>
    <t xml:space="preserve">Jazz: chord use, cumulative</t>
  </si>
  <si>
    <t xml:space="preserve">Jazz: key coverage, cumulative</t>
  </si>
  <si>
    <t xml:space="preserve">Jazz: songs playable, cumulative</t>
  </si>
  <si>
    <t xml:space="preserve">Jazz: songs added by this chunk</t>
  </si>
  <si>
    <t xml:space="preserve">1–5</t>
  </si>
  <si>
    <t xml:space="preserve">6–15</t>
  </si>
  <si>
    <t xml:space="preserve">16–28</t>
  </si>
  <si>
    <t xml:space="preserve">29–45</t>
  </si>
  <si>
    <t xml:space="preserve">46–56</t>
  </si>
  <si>
    <t xml:space="preserve">57–67</t>
  </si>
  <si>
    <t xml:space="preserve">68–78</t>
  </si>
  <si>
    <t xml:space="preserve">79–89</t>
  </si>
  <si>
    <t xml:space="preserve">90–100</t>
  </si>
  <si>
    <t xml:space="preserve">101–111</t>
  </si>
  <si>
    <t xml:space="preserve">112–122</t>
  </si>
  <si>
    <t xml:space="preserve">123–133</t>
  </si>
  <si>
    <t xml:space="preserve">134–144</t>
  </si>
  <si>
    <t xml:space="preserve">145–155</t>
  </si>
  <si>
    <t xml:space="preserve">–</t>
  </si>
  <si>
    <t xml:space="preserve">156–166</t>
  </si>
  <si>
    <t xml:space="preserve">167–177</t>
  </si>
  <si>
    <t xml:space="preserve">178–188</t>
  </si>
  <si>
    <t xml:space="preserve">How to read this</t>
  </si>
  <si>
    <t xml:space="preserve">A chunk is the highest chord group introduced so far. Coverage is measured at the END of each chunk, when every chunk up to it and every key introduced so far is in play (keys available is the key count on the last level of the chunk).</t>
  </si>
  <si>
    <t xml:space="preserve">Chord use = share of all chords played in that genre that belong to the set (including the chunk and all earlier ones). It is not a share of songs: a song is only playable if all of its chords are in the set.</t>
  </si>
  <si>
    <t xml:space="preserve">Songs playable = key coverage × chord-use coverage ^ exponent (inputs at the top, editable). The exponent is a crude stand-in for how many chances a song has to wander outside the set; Pop 5 and Jazz 6 are guesses.</t>
  </si>
  <si>
    <t xml:space="preserve">The ceiling is below 100% because the app only asks about diatonic chords: Pop tops out near 90% chord use, Jazz near 70% (secondary dominants, diminished and chromatic chords are never asked).</t>
  </si>
  <si>
    <t xml:space="preserve">Everything here is a rough estimate built on the earlier rough estimates, not measured data. Edit the blue cells on the Chord shares and Key shares sheets and the Coverage sheet recalculates.</t>
  </si>
  <si>
    <t xml:space="preserve">Group (= chunk)</t>
  </si>
  <si>
    <t xml:space="preserve">Chords added</t>
  </si>
  <si>
    <t xml:space="preserve">Pop % of chord use</t>
  </si>
  <si>
    <t xml:space="preserve">Jazz % of chord use</t>
  </si>
  <si>
    <t xml:space="preserve">I, IV, V, V7</t>
  </si>
  <si>
    <t xml:space="preserve">vi, ii</t>
  </si>
  <si>
    <t xml:space="preserve">I7, IV7, ii7, vi7</t>
  </si>
  <si>
    <t xml:space="preserve">iii, vii°</t>
  </si>
  <si>
    <t xml:space="preserve">iii7, vii°7</t>
  </si>
  <si>
    <t xml:space="preserve">sus4: I, V, IV</t>
  </si>
  <si>
    <t xml:space="preserve">sus4: vi, ii, iii, vii°</t>
  </si>
  <si>
    <t xml:space="preserve">sus2: I, V, IV</t>
  </si>
  <si>
    <t xml:space="preserve">sus2: vi, ii, iii, vii°</t>
  </si>
  <si>
    <t xml:space="preserve">add9: I, V, IV</t>
  </si>
  <si>
    <t xml:space="preserve">add9: vi, ii, iii, vii°</t>
  </si>
  <si>
    <t xml:space="preserve">9th: I, V, IV</t>
  </si>
  <si>
    <t xml:space="preserve">9th: vi, ii, iii, vii°</t>
  </si>
  <si>
    <t xml:space="preserve">11th: I, V, IV (Jazz only)</t>
  </si>
  <si>
    <t xml:space="preserve">11th: vi, ii, iii, vii° (Jazz only)</t>
  </si>
  <si>
    <t xml:space="preserve">13th: I, V, IV (Jazz only)</t>
  </si>
  <si>
    <t xml:space="preserve">13th: vi, ii, iii, vii° (Jazz only)</t>
  </si>
  <si>
    <t xml:space="preserve">Not in the app (chromatic, borrowed, secondary dominants, etc.)</t>
  </si>
  <si>
    <t xml:space="preserve">Total</t>
  </si>
  <si>
    <t xml:space="preserve">Blue figures are rough estimates and can be edited. Pop and Jazz chord-use figures start from the earlier chord-frequency table (Roman numerals, Pop vs Jazz); chords that table listed that the app never asks about (bVII, bVI, iv, bIII, II, secondary dominants, dim7, tritone subs, minor ii-V and so on) fall in the "Not in the app" row. Sevenths, sus, add9 and 9th shares in Pop, and all the later groups in both, are guesses carved out of the old "Other" rows.</t>
  </si>
  <si>
    <t xml:space="preserve">Order joined</t>
  </si>
  <si>
    <t xml:space="preserve">Key (major / relative minor)</t>
  </si>
  <si>
    <t xml:space="preserve">Pop % of music</t>
  </si>
  <si>
    <t xml:space="preserve">Jazz % of music</t>
  </si>
  <si>
    <t xml:space="preserve">C / Am</t>
  </si>
  <si>
    <t xml:space="preserve">D / Bm</t>
  </si>
  <si>
    <t xml:space="preserve">G / Em</t>
  </si>
  <si>
    <t xml:space="preserve">A / F♯m</t>
  </si>
  <si>
    <t xml:space="preserve">F / Dm</t>
  </si>
  <si>
    <t xml:space="preserve">D♭ / B♭m</t>
  </si>
  <si>
    <t xml:space="preserve">B♭ / Gm</t>
  </si>
  <si>
    <t xml:space="preserve">E♭ / Cm</t>
  </si>
  <si>
    <t xml:space="preserve">E / C♯m</t>
  </si>
  <si>
    <t xml:space="preserve">A♭ / Fm</t>
  </si>
  <si>
    <t xml:space="preserve">B / G♯m</t>
  </si>
  <si>
    <t xml:space="preserve">F♯ / E♭m</t>
  </si>
  <si>
    <t xml:space="preserve">Each row adds a major key to its relative minor, from the earlier key-frequency table (Pop and Jazz columns). Those columns summed to 98.5% and 99.5%, so the Coverage sheet divides by the total. Rows are in the order the app introduces the keys.</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</si>
</sst>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D9E1F2"/>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3"/>
    <col collapsed="false" customWidth="true" hidden="false" outlineLevel="0" max="4" min="4" style="0" width="34"/>
    <col collapsed="false" customWidth="true" hidden="false" outlineLevel="0" max="5" min="5" style="0" width="11"/>
    <col collapsed="false" customWidth="true" hidden="false" outlineLevel="0" max="7" min="6" style="0" width="12"/>
    <col collapsed="false" customWidth="true" hidden="false" outlineLevel="0" max="9" min="8" style="0" width="13"/>
    <col collapsed="false" customWidth="true" hidden="false" outlineLevel="0" max="10" min="10" style="0" width="11"/>
    <col collapsed="false" customWidth="true" hidden="false" outlineLevel="0" max="12" min="11" style="0" width="12"/>
    <col collapsed="false" customWidth="true" hidden="false" outlineLevel="0" max="14" min="13" style="0" width="13"/>
  </cols>
  <sheetData>
    <row r="1" customFormat="false" ht="15" hidden="false" customHeight="false" outlineLevel="0" collapsed="false">
      <c r="A1" s="1" t="s">
        <v>0</v>
      </c>
    </row>
    <row r="2" customFormat="false" ht="15" hidden="false" customHeight="false" outlineLevel="0" collapsed="false">
      <c r="A2" s="2" t="s">
        <v>1</v>
      </c>
      <c r="H2" s="3" t="s">
        <v>2</v>
      </c>
      <c r="I2" s="4" t="n">
        <v>5</v>
      </c>
      <c r="J2" s="3" t="s">
        <v>3</v>
      </c>
      <c r="K2" s="4" t="n">
        <v>6</v>
      </c>
    </row>
    <row r="3" customFormat="false" ht="15" hidden="false" customHeight="false" outlineLevel="0" collapsed="false">
      <c r="A3" s="2" t="s">
        <v>4</v>
      </c>
    </row>
    <row r="5" customFormat="false" ht="61.5" hidden="false" customHeight="true" outlineLevel="0" collapsed="false">
      <c r="A5" s="5" t="s">
        <v>5</v>
      </c>
      <c r="B5" s="5" t="s">
        <v>6</v>
      </c>
      <c r="C5" s="5" t="s">
        <v>7</v>
      </c>
      <c r="D5" s="5" t="s">
        <v>8</v>
      </c>
      <c r="E5" s="5" t="s">
        <v>9</v>
      </c>
      <c r="F5" s="5" t="s">
        <v>10</v>
      </c>
      <c r="G5" s="5" t="s">
        <v>11</v>
      </c>
      <c r="H5" s="5" t="s">
        <v>12</v>
      </c>
      <c r="I5" s="5" t="s">
        <v>13</v>
      </c>
      <c r="J5" s="5" t="s">
        <v>14</v>
      </c>
      <c r="K5" s="5" t="s">
        <v>15</v>
      </c>
      <c r="L5" s="5" t="s">
        <v>16</v>
      </c>
      <c r="M5" s="5" t="s">
        <v>17</v>
      </c>
      <c r="N5" s="5" t="s">
        <v>18</v>
      </c>
    </row>
    <row r="6" customFormat="false" ht="15" hidden="false" customHeight="false" outlineLevel="0" collapsed="false">
      <c r="A6" s="6" t="n">
        <v>1</v>
      </c>
      <c r="B6" s="6" t="s">
        <v>19</v>
      </c>
      <c r="C6" s="6" t="n">
        <v>5</v>
      </c>
      <c r="D6" s="7" t="str">
        <f aca="false">INDEX('Chord shares'!$B$2:$B$18,A6)</f>
        <v>I, IV, V, V7</v>
      </c>
      <c r="E6" s="8" t="n">
        <f aca="false">INDEX('Chord shares'!$C$2:$C$18,A6)</f>
        <v>0.62</v>
      </c>
      <c r="F6" s="8" t="n">
        <f aca="false">SUMPRODUCT(('Chord shares'!$A$2:$A$18&lt;=A6)*'Chord shares'!$C$2:$C$18)</f>
        <v>0.62</v>
      </c>
      <c r="G6" s="8" t="n">
        <f aca="false">SUMPRODUCT(('Key shares'!$A$2:$A$13&lt;=C6)*'Key shares'!$C$2:$C$13)/'Key shares'!$C$14</f>
        <v>0.568527918781726</v>
      </c>
      <c r="H6" s="8" t="n">
        <f aca="false">G6*F6^$I$2</f>
        <v>0.0520847092304569</v>
      </c>
      <c r="I6" s="8" t="n">
        <f aca="false">H6-0</f>
        <v>0.0520847092304569</v>
      </c>
      <c r="J6" s="8" t="n">
        <f aca="false">INDEX('Chord shares'!$D$2:$D$18,A6)</f>
        <v>0.205</v>
      </c>
      <c r="K6" s="8" t="n">
        <f aca="false">SUMPRODUCT(('Chord shares'!$A$2:$A$18&lt;=A6)*'Chord shares'!$D$2:$D$18)</f>
        <v>0.205</v>
      </c>
      <c r="L6" s="8" t="n">
        <f aca="false">SUMPRODUCT(('Key shares'!$A$2:$A$13&lt;=C6)*'Key shares'!$D$2:$D$13)/'Key shares'!$D$14</f>
        <v>0.482412060301508</v>
      </c>
      <c r="M6" s="8" t="n">
        <f aca="false">L6*K6^$K$2</f>
        <v>3.58048058366834E-005</v>
      </c>
      <c r="N6" s="8" t="n">
        <f aca="false">M6-0</f>
        <v>3.58048058366834E-005</v>
      </c>
    </row>
    <row r="7" customFormat="false" ht="15" hidden="false" customHeight="false" outlineLevel="0" collapsed="false">
      <c r="A7" s="6" t="n">
        <v>2</v>
      </c>
      <c r="B7" s="6" t="s">
        <v>20</v>
      </c>
      <c r="C7" s="6" t="n">
        <v>8</v>
      </c>
      <c r="D7" s="7" t="str">
        <f aca="false">INDEX('Chord shares'!$B$2:$B$18,A7)</f>
        <v>vi, ii</v>
      </c>
      <c r="E7" s="8" t="n">
        <f aca="false">INDEX('Chord shares'!$C$2:$C$18,A7)</f>
        <v>0.19</v>
      </c>
      <c r="F7" s="8" t="n">
        <f aca="false">SUMPRODUCT(('Chord shares'!$A$2:$A$18&lt;=A7)*'Chord shares'!$C$2:$C$18)</f>
        <v>0.81</v>
      </c>
      <c r="G7" s="8" t="n">
        <f aca="false">SUMPRODUCT(('Key shares'!$A$2:$A$13&lt;=C7)*'Key shares'!$C$2:$C$13)/'Key shares'!$C$14</f>
        <v>0.761421319796954</v>
      </c>
      <c r="H7" s="8" t="n">
        <f aca="false">G7*F7^$I$2</f>
        <v>0.265491198045685</v>
      </c>
      <c r="I7" s="8" t="n">
        <f aca="false">H7-H6</f>
        <v>0.213406488815229</v>
      </c>
      <c r="J7" s="8" t="n">
        <f aca="false">INDEX('Chord shares'!$D$2:$D$18,A7)</f>
        <v>0.01</v>
      </c>
      <c r="K7" s="8" t="n">
        <f aca="false">SUMPRODUCT(('Chord shares'!$A$2:$A$18&lt;=A7)*'Chord shares'!$D$2:$D$18)</f>
        <v>0.215</v>
      </c>
      <c r="L7" s="8" t="n">
        <f aca="false">SUMPRODUCT(('Key shares'!$A$2:$A$13&lt;=C7)*'Key shares'!$D$2:$D$13)/'Key shares'!$D$14</f>
        <v>0.85929648241206</v>
      </c>
      <c r="M7" s="8" t="n">
        <f aca="false">L7*K7^$K$2</f>
        <v>8.48738286258637E-005</v>
      </c>
      <c r="N7" s="8" t="n">
        <f aca="false">M7-M6</f>
        <v>4.90690227891803E-005</v>
      </c>
    </row>
    <row r="8" customFormat="false" ht="15" hidden="false" customHeight="false" outlineLevel="0" collapsed="false">
      <c r="A8" s="6" t="n">
        <v>3</v>
      </c>
      <c r="B8" s="6" t="s">
        <v>21</v>
      </c>
      <c r="C8" s="6" t="n">
        <v>10</v>
      </c>
      <c r="D8" s="7" t="str">
        <f aca="false">INDEX('Chord shares'!$B$2:$B$18,A8)</f>
        <v>I7, IV7, ii7, vi7</v>
      </c>
      <c r="E8" s="8" t="n">
        <f aca="false">INDEX('Chord shares'!$C$2:$C$18,A8)</f>
        <v>0.011</v>
      </c>
      <c r="F8" s="8" t="n">
        <f aca="false">SUMPRODUCT(('Chord shares'!$A$2:$A$18&lt;=A8)*'Chord shares'!$C$2:$C$18)</f>
        <v>0.821</v>
      </c>
      <c r="G8" s="8" t="n">
        <f aca="false">SUMPRODUCT(('Key shares'!$A$2:$A$13&lt;=C8)*'Key shares'!$C$2:$C$13)/'Key shares'!$C$14</f>
        <v>0.908629441624366</v>
      </c>
      <c r="H8" s="8" t="n">
        <f aca="false">G8*F8^$I$2</f>
        <v>0.338924208431726</v>
      </c>
      <c r="I8" s="8" t="n">
        <f aca="false">H8-H7</f>
        <v>0.0734330103860408</v>
      </c>
      <c r="J8" s="8" t="n">
        <f aca="false">INDEX('Chord shares'!$D$2:$D$18,A8)</f>
        <v>0.38</v>
      </c>
      <c r="K8" s="8" t="n">
        <f aca="false">SUMPRODUCT(('Chord shares'!$A$2:$A$18&lt;=A8)*'Chord shares'!$D$2:$D$18)</f>
        <v>0.595</v>
      </c>
      <c r="L8" s="8" t="n">
        <f aca="false">SUMPRODUCT(('Key shares'!$A$2:$A$13&lt;=C8)*'Key shares'!$D$2:$D$13)/'Key shares'!$D$14</f>
        <v>0.969849246231156</v>
      </c>
      <c r="M8" s="8" t="n">
        <f aca="false">L8*K8^$K$2</f>
        <v>0.0430334363276722</v>
      </c>
      <c r="N8" s="8" t="n">
        <f aca="false">M8-M7</f>
        <v>0.0429485624990463</v>
      </c>
    </row>
    <row r="9" customFormat="false" ht="15" hidden="false" customHeight="false" outlineLevel="0" collapsed="false">
      <c r="A9" s="6" t="n">
        <v>4</v>
      </c>
      <c r="B9" s="6" t="s">
        <v>22</v>
      </c>
      <c r="C9" s="6" t="n">
        <v>12</v>
      </c>
      <c r="D9" s="7" t="str">
        <f aca="false">INDEX('Chord shares'!$B$2:$B$18,A9)</f>
        <v>iii, vii°</v>
      </c>
      <c r="E9" s="8" t="n">
        <f aca="false">INDEX('Chord shares'!$C$2:$C$18,A9)</f>
        <v>0.035</v>
      </c>
      <c r="F9" s="8" t="n">
        <f aca="false">SUMPRODUCT(('Chord shares'!$A$2:$A$18&lt;=A9)*'Chord shares'!$C$2:$C$18)</f>
        <v>0.856</v>
      </c>
      <c r="G9" s="8" t="n">
        <f aca="false">SUMPRODUCT(('Key shares'!$A$2:$A$13&lt;=C9)*'Key shares'!$C$2:$C$13)/'Key shares'!$C$14</f>
        <v>1</v>
      </c>
      <c r="H9" s="8" t="n">
        <f aca="false">G9*F9^$I$2</f>
        <v>0.459588151115776</v>
      </c>
      <c r="I9" s="8" t="n">
        <f aca="false">H9-H8</f>
        <v>0.12066394268405</v>
      </c>
      <c r="J9" s="8" t="n">
        <f aca="false">INDEX('Chord shares'!$D$2:$D$18,A9)</f>
        <v>0.005</v>
      </c>
      <c r="K9" s="8" t="n">
        <f aca="false">SUMPRODUCT(('Chord shares'!$A$2:$A$18&lt;=A9)*'Chord shares'!$D$2:$D$18)</f>
        <v>0.6</v>
      </c>
      <c r="L9" s="8" t="n">
        <f aca="false">SUMPRODUCT(('Key shares'!$A$2:$A$13&lt;=C9)*'Key shares'!$D$2:$D$13)/'Key shares'!$D$14</f>
        <v>1</v>
      </c>
      <c r="M9" s="8" t="n">
        <f aca="false">L9*K9^$K$2</f>
        <v>0.046656</v>
      </c>
      <c r="N9" s="8" t="n">
        <f aca="false">M9-M8</f>
        <v>0.00362256367232781</v>
      </c>
    </row>
    <row r="10" customFormat="false" ht="15" hidden="false" customHeight="false" outlineLevel="0" collapsed="false">
      <c r="A10" s="6" t="n">
        <v>5</v>
      </c>
      <c r="B10" s="6" t="s">
        <v>23</v>
      </c>
      <c r="C10" s="6" t="n">
        <v>12</v>
      </c>
      <c r="D10" s="7" t="str">
        <f aca="false">INDEX('Chord shares'!$B$2:$B$18,A10)</f>
        <v>iii7, vii°7</v>
      </c>
      <c r="E10" s="8" t="n">
        <f aca="false">INDEX('Chord shares'!$C$2:$C$18,A10)</f>
        <v>0.001</v>
      </c>
      <c r="F10" s="8" t="n">
        <f aca="false">SUMPRODUCT(('Chord shares'!$A$2:$A$18&lt;=A10)*'Chord shares'!$C$2:$C$18)</f>
        <v>0.857</v>
      </c>
      <c r="G10" s="8" t="n">
        <f aca="false">SUMPRODUCT(('Key shares'!$A$2:$A$13&lt;=C10)*'Key shares'!$C$2:$C$13)/'Key shares'!$C$14</f>
        <v>1</v>
      </c>
      <c r="H10" s="8" t="n">
        <f aca="false">G10*F10^$I$2</f>
        <v>0.462278940896057</v>
      </c>
      <c r="I10" s="8" t="n">
        <f aca="false">H10-H9</f>
        <v>0.00269078978028103</v>
      </c>
      <c r="J10" s="8" t="n">
        <f aca="false">INDEX('Chord shares'!$D$2:$D$18,A10)</f>
        <v>0.06</v>
      </c>
      <c r="K10" s="8" t="n">
        <f aca="false">SUMPRODUCT(('Chord shares'!$A$2:$A$18&lt;=A10)*'Chord shares'!$D$2:$D$18)</f>
        <v>0.66</v>
      </c>
      <c r="L10" s="8" t="n">
        <f aca="false">SUMPRODUCT(('Key shares'!$A$2:$A$13&lt;=C10)*'Key shares'!$D$2:$D$13)/'Key shares'!$D$14</f>
        <v>1</v>
      </c>
      <c r="M10" s="8" t="n">
        <f aca="false">L10*K10^$K$2</f>
        <v>0.082653950016</v>
      </c>
      <c r="N10" s="8" t="n">
        <f aca="false">M10-M9</f>
        <v>0.035997950016</v>
      </c>
    </row>
    <row r="11" customFormat="false" ht="15" hidden="false" customHeight="false" outlineLevel="0" collapsed="false">
      <c r="A11" s="6" t="n">
        <v>6</v>
      </c>
      <c r="B11" s="6" t="s">
        <v>24</v>
      </c>
      <c r="C11" s="6" t="n">
        <v>12</v>
      </c>
      <c r="D11" s="7" t="str">
        <f aca="false">INDEX('Chord shares'!$B$2:$B$18,A11)</f>
        <v>sus4: I, V, IV</v>
      </c>
      <c r="E11" s="8" t="n">
        <f aca="false">INDEX('Chord shares'!$C$2:$C$18,A11)</f>
        <v>0.007</v>
      </c>
      <c r="F11" s="8" t="n">
        <f aca="false">SUMPRODUCT(('Chord shares'!$A$2:$A$18&lt;=A11)*'Chord shares'!$C$2:$C$18)</f>
        <v>0.864</v>
      </c>
      <c r="G11" s="8" t="n">
        <f aca="false">SUMPRODUCT(('Key shares'!$A$2:$A$13&lt;=C11)*'Key shares'!$C$2:$C$13)/'Key shares'!$C$14</f>
        <v>1</v>
      </c>
      <c r="H11" s="8" t="n">
        <f aca="false">G11*F11^$I$2</f>
        <v>0.481469424205824</v>
      </c>
      <c r="I11" s="8" t="n">
        <f aca="false">H11-H10</f>
        <v>0.019190483309767</v>
      </c>
      <c r="J11" s="8" t="n">
        <f aca="false">INDEX('Chord shares'!$D$2:$D$18,A11)</f>
        <v>0.005</v>
      </c>
      <c r="K11" s="8" t="n">
        <f aca="false">SUMPRODUCT(('Chord shares'!$A$2:$A$18&lt;=A11)*'Chord shares'!$D$2:$D$18)</f>
        <v>0.665</v>
      </c>
      <c r="L11" s="8" t="n">
        <f aca="false">SUMPRODUCT(('Key shares'!$A$2:$A$13&lt;=C11)*'Key shares'!$D$2:$D$13)/'Key shares'!$D$14</f>
        <v>1</v>
      </c>
      <c r="M11" s="8" t="n">
        <f aca="false">L11*K11^$K$2</f>
        <v>0.0864828258401407</v>
      </c>
      <c r="N11" s="8" t="n">
        <f aca="false">M11-M10</f>
        <v>0.00382887582414063</v>
      </c>
    </row>
    <row r="12" customFormat="false" ht="15" hidden="false" customHeight="false" outlineLevel="0" collapsed="false">
      <c r="A12" s="6" t="n">
        <v>7</v>
      </c>
      <c r="B12" s="6" t="s">
        <v>25</v>
      </c>
      <c r="C12" s="6" t="n">
        <v>12</v>
      </c>
      <c r="D12" s="7" t="str">
        <f aca="false">INDEX('Chord shares'!$B$2:$B$18,A12)</f>
        <v>sus4: vi, ii, iii, vii°</v>
      </c>
      <c r="E12" s="8" t="n">
        <f aca="false">INDEX('Chord shares'!$C$2:$C$18,A12)</f>
        <v>0.002</v>
      </c>
      <c r="F12" s="8" t="n">
        <f aca="false">SUMPRODUCT(('Chord shares'!$A$2:$A$18&lt;=A12)*'Chord shares'!$C$2:$C$18)</f>
        <v>0.866</v>
      </c>
      <c r="G12" s="8" t="n">
        <f aca="false">SUMPRODUCT(('Key shares'!$A$2:$A$13&lt;=C12)*'Key shares'!$C$2:$C$13)/'Key shares'!$C$14</f>
        <v>1</v>
      </c>
      <c r="H12" s="8" t="n">
        <f aca="false">G12*F12^$I$2</f>
        <v>0.487067845676576</v>
      </c>
      <c r="I12" s="8" t="n">
        <f aca="false">H12-H11</f>
        <v>0.00559842147075201</v>
      </c>
      <c r="J12" s="8" t="n">
        <f aca="false">INDEX('Chord shares'!$D$2:$D$18,A12)</f>
        <v>0.004</v>
      </c>
      <c r="K12" s="8" t="n">
        <f aca="false">SUMPRODUCT(('Chord shares'!$A$2:$A$18&lt;=A12)*'Chord shares'!$D$2:$D$18)</f>
        <v>0.669</v>
      </c>
      <c r="L12" s="8" t="n">
        <f aca="false">SUMPRODUCT(('Key shares'!$A$2:$A$13&lt;=C12)*'Key shares'!$D$2:$D$13)/'Key shares'!$D$14</f>
        <v>1</v>
      </c>
      <c r="M12" s="8" t="n">
        <f aca="false">L12*K12^$K$2</f>
        <v>0.0896513237644195</v>
      </c>
      <c r="N12" s="8" t="n">
        <f aca="false">M12-M11</f>
        <v>0.00316849792427887</v>
      </c>
    </row>
    <row r="13" customFormat="false" ht="15" hidden="false" customHeight="false" outlineLevel="0" collapsed="false">
      <c r="A13" s="6" t="n">
        <v>8</v>
      </c>
      <c r="B13" s="6" t="s">
        <v>26</v>
      </c>
      <c r="C13" s="6" t="n">
        <v>12</v>
      </c>
      <c r="D13" s="7" t="str">
        <f aca="false">INDEX('Chord shares'!$B$2:$B$18,A13)</f>
        <v>sus2: I, V, IV</v>
      </c>
      <c r="E13" s="8" t="n">
        <f aca="false">INDEX('Chord shares'!$C$2:$C$18,A13)</f>
        <v>0.005</v>
      </c>
      <c r="F13" s="8" t="n">
        <f aca="false">SUMPRODUCT(('Chord shares'!$A$2:$A$18&lt;=A13)*'Chord shares'!$C$2:$C$18)</f>
        <v>0.871</v>
      </c>
      <c r="G13" s="8" t="n">
        <f aca="false">SUMPRODUCT(('Key shares'!$A$2:$A$13&lt;=C13)*'Key shares'!$C$2:$C$13)/'Key shares'!$C$14</f>
        <v>1</v>
      </c>
      <c r="H13" s="8" t="n">
        <f aca="false">G13*F13^$I$2</f>
        <v>0.501292001353351</v>
      </c>
      <c r="I13" s="8" t="n">
        <f aca="false">H13-H12</f>
        <v>0.014224155676775</v>
      </c>
      <c r="J13" s="8" t="n">
        <f aca="false">INDEX('Chord shares'!$D$2:$D$18,A13)</f>
        <v>0.003</v>
      </c>
      <c r="K13" s="8" t="n">
        <f aca="false">SUMPRODUCT(('Chord shares'!$A$2:$A$18&lt;=A13)*'Chord shares'!$D$2:$D$18)</f>
        <v>0.672</v>
      </c>
      <c r="L13" s="8" t="n">
        <f aca="false">SUMPRODUCT(('Key shares'!$A$2:$A$13&lt;=C13)*'Key shares'!$D$2:$D$13)/'Key shares'!$D$14</f>
        <v>1</v>
      </c>
      <c r="M13" s="8" t="n">
        <f aca="false">L13*K13^$K$2</f>
        <v>0.0920906711999447</v>
      </c>
      <c r="N13" s="8" t="n">
        <f aca="false">M13-M12</f>
        <v>0.00243934743552522</v>
      </c>
    </row>
    <row r="14" customFormat="false" ht="15" hidden="false" customHeight="false" outlineLevel="0" collapsed="false">
      <c r="A14" s="6" t="n">
        <v>9</v>
      </c>
      <c r="B14" s="6" t="s">
        <v>27</v>
      </c>
      <c r="C14" s="6" t="n">
        <v>12</v>
      </c>
      <c r="D14" s="7" t="str">
        <f aca="false">INDEX('Chord shares'!$B$2:$B$18,A14)</f>
        <v>sus2: vi, ii, iii, vii°</v>
      </c>
      <c r="E14" s="8" t="n">
        <f aca="false">INDEX('Chord shares'!$C$2:$C$18,A14)</f>
        <v>0.002</v>
      </c>
      <c r="F14" s="8" t="n">
        <f aca="false">SUMPRODUCT(('Chord shares'!$A$2:$A$18&lt;=A14)*'Chord shares'!$C$2:$C$18)</f>
        <v>0.873</v>
      </c>
      <c r="G14" s="8" t="n">
        <f aca="false">SUMPRODUCT(('Key shares'!$A$2:$A$13&lt;=C14)*'Key shares'!$C$2:$C$13)/'Key shares'!$C$14</f>
        <v>1</v>
      </c>
      <c r="H14" s="8" t="n">
        <f aca="false">G14*F14^$I$2</f>
        <v>0.507073854835593</v>
      </c>
      <c r="I14" s="8" t="n">
        <f aca="false">H14-H13</f>
        <v>0.00578185348224203</v>
      </c>
      <c r="J14" s="8" t="n">
        <f aca="false">INDEX('Chord shares'!$D$2:$D$18,A14)</f>
        <v>0.002</v>
      </c>
      <c r="K14" s="8" t="n">
        <f aca="false">SUMPRODUCT(('Chord shares'!$A$2:$A$18&lt;=A14)*'Chord shares'!$D$2:$D$18)</f>
        <v>0.674</v>
      </c>
      <c r="L14" s="8" t="n">
        <f aca="false">SUMPRODUCT(('Key shares'!$A$2:$A$13&lt;=C14)*'Key shares'!$D$2:$D$13)/'Key shares'!$D$14</f>
        <v>1</v>
      </c>
      <c r="M14" s="8" t="n">
        <f aca="false">L14*K14^$K$2</f>
        <v>0.0937474318207366</v>
      </c>
      <c r="N14" s="8" t="n">
        <f aca="false">M14-M13</f>
        <v>0.00165676062079187</v>
      </c>
    </row>
    <row r="15" customFormat="false" ht="15" hidden="false" customHeight="false" outlineLevel="0" collapsed="false">
      <c r="A15" s="6" t="n">
        <v>10</v>
      </c>
      <c r="B15" s="6" t="s">
        <v>28</v>
      </c>
      <c r="C15" s="6" t="n">
        <v>12</v>
      </c>
      <c r="D15" s="7" t="str">
        <f aca="false">INDEX('Chord shares'!$B$2:$B$18,A15)</f>
        <v>add9: I, V, IV</v>
      </c>
      <c r="E15" s="8" t="n">
        <f aca="false">INDEX('Chord shares'!$C$2:$C$18,A15)</f>
        <v>0.006</v>
      </c>
      <c r="F15" s="8" t="n">
        <f aca="false">SUMPRODUCT(('Chord shares'!$A$2:$A$18&lt;=A15)*'Chord shares'!$C$2:$C$18)</f>
        <v>0.879</v>
      </c>
      <c r="G15" s="8" t="n">
        <f aca="false">SUMPRODUCT(('Key shares'!$A$2:$A$13&lt;=C15)*'Key shares'!$C$2:$C$13)/'Key shares'!$C$14</f>
        <v>1</v>
      </c>
      <c r="H15" s="8" t="n">
        <f aca="false">G15*F15^$I$2</f>
        <v>0.524740246980399</v>
      </c>
      <c r="I15" s="8" t="n">
        <f aca="false">H15-H14</f>
        <v>0.017666392144806</v>
      </c>
      <c r="J15" s="8" t="n">
        <f aca="false">INDEX('Chord shares'!$D$2:$D$18,A15)</f>
        <v>0.005</v>
      </c>
      <c r="K15" s="8" t="n">
        <f aca="false">SUMPRODUCT(('Chord shares'!$A$2:$A$18&lt;=A15)*'Chord shares'!$D$2:$D$18)</f>
        <v>0.679</v>
      </c>
      <c r="L15" s="8" t="n">
        <f aca="false">SUMPRODUCT(('Key shares'!$A$2:$A$13&lt;=C15)*'Key shares'!$D$2:$D$13)/'Key shares'!$D$14</f>
        <v>1</v>
      </c>
      <c r="M15" s="8" t="n">
        <f aca="false">L15*K15^$K$2</f>
        <v>0.0979983234078919</v>
      </c>
      <c r="N15" s="8" t="n">
        <f aca="false">M15-M14</f>
        <v>0.00425089158715526</v>
      </c>
    </row>
    <row r="16" customFormat="false" ht="15" hidden="false" customHeight="false" outlineLevel="0" collapsed="false">
      <c r="A16" s="6" t="n">
        <v>11</v>
      </c>
      <c r="B16" s="6" t="s">
        <v>29</v>
      </c>
      <c r="C16" s="6" t="n">
        <v>12</v>
      </c>
      <c r="D16" s="7" t="str">
        <f aca="false">INDEX('Chord shares'!$B$2:$B$18,A16)</f>
        <v>add9: vi, ii, iii, vii°</v>
      </c>
      <c r="E16" s="8" t="n">
        <f aca="false">INDEX('Chord shares'!$C$2:$C$18,A16)</f>
        <v>0.002</v>
      </c>
      <c r="F16" s="8" t="n">
        <f aca="false">SUMPRODUCT(('Chord shares'!$A$2:$A$18&lt;=A16)*'Chord shares'!$C$2:$C$18)</f>
        <v>0.881</v>
      </c>
      <c r="G16" s="8" t="n">
        <f aca="false">SUMPRODUCT(('Key shares'!$A$2:$A$13&lt;=C16)*'Key shares'!$C$2:$C$13)/'Key shares'!$C$14</f>
        <v>1</v>
      </c>
      <c r="H16" s="8" t="n">
        <f aca="false">G16*F16^$I$2</f>
        <v>0.530737216068401</v>
      </c>
      <c r="I16" s="8" t="n">
        <f aca="false">H16-H15</f>
        <v>0.00599696908800196</v>
      </c>
      <c r="J16" s="8" t="n">
        <f aca="false">INDEX('Chord shares'!$D$2:$D$18,A16)</f>
        <v>0.004</v>
      </c>
      <c r="K16" s="8" t="n">
        <f aca="false">SUMPRODUCT(('Chord shares'!$A$2:$A$18&lt;=A16)*'Chord shares'!$D$2:$D$18)</f>
        <v>0.683</v>
      </c>
      <c r="L16" s="8" t="n">
        <f aca="false">SUMPRODUCT(('Key shares'!$A$2:$A$13&lt;=C16)*'Key shares'!$D$2:$D$13)/'Key shares'!$D$14</f>
        <v>1</v>
      </c>
      <c r="M16" s="8" t="n">
        <f aca="false">L16*K16^$K$2</f>
        <v>0.101513598260088</v>
      </c>
      <c r="N16" s="8" t="n">
        <f aca="false">M16-M15</f>
        <v>0.00351527485219624</v>
      </c>
    </row>
    <row r="17" customFormat="false" ht="15" hidden="false" customHeight="false" outlineLevel="0" collapsed="false">
      <c r="A17" s="6" t="n">
        <v>12</v>
      </c>
      <c r="B17" s="6" t="s">
        <v>30</v>
      </c>
      <c r="C17" s="6" t="n">
        <v>12</v>
      </c>
      <c r="D17" s="7" t="str">
        <f aca="false">INDEX('Chord shares'!$B$2:$B$18,A17)</f>
        <v>9th: I, V, IV</v>
      </c>
      <c r="E17" s="8" t="n">
        <f aca="false">INDEX('Chord shares'!$C$2:$C$18,A17)</f>
        <v>0.003</v>
      </c>
      <c r="F17" s="8" t="n">
        <f aca="false">SUMPRODUCT(('Chord shares'!$A$2:$A$18&lt;=A17)*'Chord shares'!$C$2:$C$18)</f>
        <v>0.884</v>
      </c>
      <c r="G17" s="8" t="n">
        <f aca="false">SUMPRODUCT(('Key shares'!$A$2:$A$13&lt;=C17)*'Key shares'!$C$2:$C$13)/'Key shares'!$C$14</f>
        <v>1</v>
      </c>
      <c r="H17" s="8" t="n">
        <f aca="false">G17*F17^$I$2</f>
        <v>0.539835356263424</v>
      </c>
      <c r="I17" s="8" t="n">
        <f aca="false">H17-H16</f>
        <v>0.00909814019502309</v>
      </c>
      <c r="J17" s="8" t="n">
        <f aca="false">INDEX('Chord shares'!$D$2:$D$18,A17)</f>
        <v>0.01</v>
      </c>
      <c r="K17" s="8" t="n">
        <f aca="false">SUMPRODUCT(('Chord shares'!$A$2:$A$18&lt;=A17)*'Chord shares'!$D$2:$D$18)</f>
        <v>0.693</v>
      </c>
      <c r="L17" s="8" t="n">
        <f aca="false">SUMPRODUCT(('Key shares'!$A$2:$A$13&lt;=C17)*'Key shares'!$D$2:$D$13)/'Key shares'!$D$14</f>
        <v>1</v>
      </c>
      <c r="M17" s="8" t="n">
        <f aca="false">L17*K17^$K$2</f>
        <v>0.110764198096878</v>
      </c>
      <c r="N17" s="8" t="n">
        <f aca="false">M17-M16</f>
        <v>0.00925059983679008</v>
      </c>
    </row>
    <row r="18" customFormat="false" ht="15" hidden="false" customHeight="false" outlineLevel="0" collapsed="false">
      <c r="A18" s="6" t="n">
        <v>13</v>
      </c>
      <c r="B18" s="6" t="s">
        <v>31</v>
      </c>
      <c r="C18" s="6" t="n">
        <v>12</v>
      </c>
      <c r="D18" s="7" t="str">
        <f aca="false">INDEX('Chord shares'!$B$2:$B$18,A18)</f>
        <v>9th: vi, ii, iii, vii°</v>
      </c>
      <c r="E18" s="8" t="n">
        <f aca="false">INDEX('Chord shares'!$C$2:$C$18,A18)</f>
        <v>0.001</v>
      </c>
      <c r="F18" s="8" t="n">
        <f aca="false">SUMPRODUCT(('Chord shares'!$A$2:$A$18&lt;=A18)*'Chord shares'!$C$2:$C$18)</f>
        <v>0.885</v>
      </c>
      <c r="G18" s="8" t="n">
        <f aca="false">SUMPRODUCT(('Key shares'!$A$2:$A$13&lt;=C18)*'Key shares'!$C$2:$C$13)/'Key shares'!$C$14</f>
        <v>1</v>
      </c>
      <c r="H18" s="8" t="n">
        <f aca="false">G18*F18^$I$2</f>
        <v>0.542895639553125</v>
      </c>
      <c r="I18" s="8" t="n">
        <f aca="false">H18-H17</f>
        <v>0.00306028328970098</v>
      </c>
      <c r="J18" s="8" t="n">
        <f aca="false">INDEX('Chord shares'!$D$2:$D$18,A18)</f>
        <v>0.007</v>
      </c>
      <c r="K18" s="8" t="n">
        <f aca="false">SUMPRODUCT(('Chord shares'!$A$2:$A$18&lt;=A18)*'Chord shares'!$D$2:$D$18)</f>
        <v>0.7</v>
      </c>
      <c r="L18" s="8" t="n">
        <f aca="false">SUMPRODUCT(('Key shares'!$A$2:$A$13&lt;=C18)*'Key shares'!$D$2:$D$13)/'Key shares'!$D$14</f>
        <v>1</v>
      </c>
      <c r="M18" s="8" t="n">
        <f aca="false">L18*K18^$K$2</f>
        <v>0.117649</v>
      </c>
      <c r="N18" s="8" t="n">
        <f aca="false">M18-M17</f>
        <v>0.00688480190312177</v>
      </c>
    </row>
    <row r="19" customFormat="false" ht="15" hidden="false" customHeight="false" outlineLevel="0" collapsed="false">
      <c r="A19" s="6" t="n">
        <v>14</v>
      </c>
      <c r="B19" s="6" t="s">
        <v>32</v>
      </c>
      <c r="C19" s="6" t="n">
        <v>12</v>
      </c>
      <c r="D19" s="7" t="str">
        <f aca="false">INDEX('Chord shares'!$B$2:$B$18,A19)</f>
        <v>11th: I, V, IV (Jazz only)</v>
      </c>
      <c r="E19" s="9" t="s">
        <v>33</v>
      </c>
      <c r="F19" s="9" t="s">
        <v>33</v>
      </c>
      <c r="G19" s="9" t="s">
        <v>33</v>
      </c>
      <c r="H19" s="9" t="s">
        <v>33</v>
      </c>
      <c r="I19" s="9" t="s">
        <v>33</v>
      </c>
      <c r="J19" s="8" t="n">
        <f aca="false">INDEX('Chord shares'!$D$2:$D$18,A19)</f>
        <v>0.001</v>
      </c>
      <c r="K19" s="8" t="n">
        <f aca="false">SUMPRODUCT(('Chord shares'!$A$2:$A$18&lt;=A19)*'Chord shares'!$D$2:$D$18)</f>
        <v>0.701</v>
      </c>
      <c r="L19" s="8" t="n">
        <f aca="false">SUMPRODUCT(('Key shares'!$A$2:$A$13&lt;=C19)*'Key shares'!$D$2:$D$13)/'Key shares'!$D$14</f>
        <v>1</v>
      </c>
      <c r="M19" s="8" t="n">
        <f aca="false">L19*K19^$K$2</f>
        <v>0.118661028367354</v>
      </c>
      <c r="N19" s="8" t="n">
        <f aca="false">M19-M18</f>
        <v>0.0010120283673542</v>
      </c>
    </row>
    <row r="20" customFormat="false" ht="15" hidden="false" customHeight="false" outlineLevel="0" collapsed="false">
      <c r="A20" s="6" t="n">
        <v>15</v>
      </c>
      <c r="B20" s="6" t="s">
        <v>34</v>
      </c>
      <c r="C20" s="6" t="n">
        <v>12</v>
      </c>
      <c r="D20" s="7" t="str">
        <f aca="false">INDEX('Chord shares'!$B$2:$B$18,A20)</f>
        <v>11th: vi, ii, iii, vii° (Jazz only)</v>
      </c>
      <c r="E20" s="9" t="s">
        <v>33</v>
      </c>
      <c r="F20" s="9" t="s">
        <v>33</v>
      </c>
      <c r="G20" s="9" t="s">
        <v>33</v>
      </c>
      <c r="H20" s="9" t="s">
        <v>33</v>
      </c>
      <c r="I20" s="9" t="s">
        <v>33</v>
      </c>
      <c r="J20" s="8" t="n">
        <f aca="false">INDEX('Chord shares'!$D$2:$D$18,A20)</f>
        <v>0.001</v>
      </c>
      <c r="K20" s="8" t="n">
        <f aca="false">SUMPRODUCT(('Chord shares'!$A$2:$A$18&lt;=A20)*'Chord shares'!$D$2:$D$18)</f>
        <v>0.702</v>
      </c>
      <c r="L20" s="8" t="n">
        <f aca="false">SUMPRODUCT(('Key shares'!$A$2:$A$13&lt;=C20)*'Key shares'!$D$2:$D$13)/'Key shares'!$D$14</f>
        <v>1</v>
      </c>
      <c r="M20" s="8" t="n">
        <f aca="false">L20*K20^$K$2</f>
        <v>0.119680300997734</v>
      </c>
      <c r="N20" s="8" t="n">
        <f aca="false">M20-M19</f>
        <v>0.00101927263038026</v>
      </c>
    </row>
    <row r="21" customFormat="false" ht="15" hidden="false" customHeight="false" outlineLevel="0" collapsed="false">
      <c r="A21" s="6" t="n">
        <v>16</v>
      </c>
      <c r="B21" s="6" t="s">
        <v>35</v>
      </c>
      <c r="C21" s="6" t="n">
        <v>12</v>
      </c>
      <c r="D21" s="7" t="str">
        <f aca="false">INDEX('Chord shares'!$B$2:$B$18,A21)</f>
        <v>13th: I, V, IV (Jazz only)</v>
      </c>
      <c r="E21" s="9" t="s">
        <v>33</v>
      </c>
      <c r="F21" s="9" t="s">
        <v>33</v>
      </c>
      <c r="G21" s="9" t="s">
        <v>33</v>
      </c>
      <c r="H21" s="9" t="s">
        <v>33</v>
      </c>
      <c r="I21" s="9" t="s">
        <v>33</v>
      </c>
      <c r="J21" s="8" t="n">
        <f aca="false">INDEX('Chord shares'!$D$2:$D$18,A21)</f>
        <v>0.001</v>
      </c>
      <c r="K21" s="8" t="n">
        <f aca="false">SUMPRODUCT(('Chord shares'!$A$2:$A$18&lt;=A21)*'Chord shares'!$D$2:$D$18)</f>
        <v>0.703</v>
      </c>
      <c r="L21" s="8" t="n">
        <f aca="false">SUMPRODUCT(('Key shares'!$A$2:$A$13&lt;=C21)*'Key shares'!$D$2:$D$13)/'Key shares'!$D$14</f>
        <v>1</v>
      </c>
      <c r="M21" s="8" t="n">
        <f aca="false">L21*K21^$K$2</f>
        <v>0.120706859316371</v>
      </c>
      <c r="N21" s="8" t="n">
        <f aca="false">M21-M20</f>
        <v>0.00102655831863686</v>
      </c>
    </row>
    <row r="22" customFormat="false" ht="15" hidden="false" customHeight="false" outlineLevel="0" collapsed="false">
      <c r="A22" s="6" t="n">
        <v>17</v>
      </c>
      <c r="B22" s="6" t="s">
        <v>36</v>
      </c>
      <c r="C22" s="6" t="n">
        <v>12</v>
      </c>
      <c r="D22" s="7" t="str">
        <f aca="false">INDEX('Chord shares'!$B$2:$B$18,A22)</f>
        <v>13th: vi, ii, iii, vii° (Jazz only)</v>
      </c>
      <c r="E22" s="9" t="s">
        <v>33</v>
      </c>
      <c r="F22" s="9" t="s">
        <v>33</v>
      </c>
      <c r="G22" s="9" t="s">
        <v>33</v>
      </c>
      <c r="H22" s="9" t="s">
        <v>33</v>
      </c>
      <c r="I22" s="9" t="s">
        <v>33</v>
      </c>
      <c r="J22" s="8" t="n">
        <f aca="false">INDEX('Chord shares'!$D$2:$D$18,A22)</f>
        <v>0.001</v>
      </c>
      <c r="K22" s="8" t="n">
        <f aca="false">SUMPRODUCT(('Chord shares'!$A$2:$A$18&lt;=A22)*'Chord shares'!$D$2:$D$18)</f>
        <v>0.704</v>
      </c>
      <c r="L22" s="8" t="n">
        <f aca="false">SUMPRODUCT(('Key shares'!$A$2:$A$13&lt;=C22)*'Key shares'!$D$2:$D$13)/'Key shares'!$D$14</f>
        <v>1</v>
      </c>
      <c r="M22" s="8" t="n">
        <f aca="false">L22*K22^$K$2</f>
        <v>0.121740744925905</v>
      </c>
      <c r="N22" s="8" t="n">
        <f aca="false">M22-M21</f>
        <v>0.00103388560953356</v>
      </c>
    </row>
    <row r="24" customFormat="false" ht="15" hidden="false" customHeight="false" outlineLevel="0" collapsed="false">
      <c r="A24" s="3" t="s">
        <v>37</v>
      </c>
    </row>
    <row r="25" customFormat="false" ht="30" hidden="false" customHeight="true" outlineLevel="0" collapsed="false">
      <c r="A25" s="10" t="s">
        <v>38</v>
      </c>
      <c r="B25" s="10"/>
      <c r="C25" s="10"/>
      <c r="D25" s="10"/>
      <c r="E25" s="10"/>
      <c r="F25" s="10"/>
      <c r="G25" s="10"/>
      <c r="H25" s="10"/>
      <c r="I25" s="10"/>
      <c r="J25" s="10"/>
      <c r="K25" s="10"/>
      <c r="L25" s="10"/>
      <c r="M25" s="10"/>
      <c r="N25" s="10"/>
    </row>
    <row r="26" customFormat="false" ht="30" hidden="false" customHeight="true" outlineLevel="0" collapsed="false">
      <c r="A26" s="10" t="s">
        <v>39</v>
      </c>
      <c r="B26" s="10"/>
      <c r="C26" s="10"/>
      <c r="D26" s="10"/>
      <c r="E26" s="10"/>
      <c r="F26" s="10"/>
      <c r="G26" s="10"/>
      <c r="H26" s="10"/>
      <c r="I26" s="10"/>
      <c r="J26" s="10"/>
      <c r="K26" s="10"/>
      <c r="L26" s="10"/>
      <c r="M26" s="10"/>
      <c r="N26" s="10"/>
    </row>
    <row r="27" customFormat="false" ht="30" hidden="false" customHeight="true" outlineLevel="0" collapsed="false">
      <c r="A27" s="10" t="s">
        <v>40</v>
      </c>
      <c r="B27" s="10"/>
      <c r="C27" s="10"/>
      <c r="D27" s="10"/>
      <c r="E27" s="10"/>
      <c r="F27" s="10"/>
      <c r="G27" s="10"/>
      <c r="H27" s="10"/>
      <c r="I27" s="10"/>
      <c r="J27" s="10"/>
      <c r="K27" s="10"/>
      <c r="L27" s="10"/>
      <c r="M27" s="10"/>
      <c r="N27" s="10"/>
    </row>
    <row r="28" customFormat="false" ht="30" hidden="false" customHeight="true" outlineLevel="0" collapsed="false">
      <c r="A28" s="10" t="s">
        <v>41</v>
      </c>
      <c r="B28" s="10"/>
      <c r="C28" s="10"/>
      <c r="D28" s="10"/>
      <c r="E28" s="10"/>
      <c r="F28" s="10"/>
      <c r="G28" s="10"/>
      <c r="H28" s="10"/>
      <c r="I28" s="10"/>
      <c r="J28" s="10"/>
      <c r="K28" s="10"/>
      <c r="L28" s="10"/>
      <c r="M28" s="10"/>
      <c r="N28" s="10"/>
    </row>
    <row r="29" customFormat="false" ht="30" hidden="false" customHeight="true" outlineLevel="0" collapsed="false">
      <c r="A29" s="10" t="s">
        <v>42</v>
      </c>
      <c r="B29" s="10"/>
      <c r="C29" s="10"/>
      <c r="D29" s="10"/>
      <c r="E29" s="10"/>
      <c r="F29" s="10"/>
      <c r="G29" s="10"/>
      <c r="H29" s="10"/>
      <c r="I29" s="10"/>
      <c r="J29" s="10"/>
      <c r="K29" s="10"/>
      <c r="L29" s="10"/>
      <c r="M29" s="10"/>
      <c r="N29" s="10"/>
    </row>
  </sheetData>
  <mergeCells count="5">
    <mergeCell ref="A25:N25"/>
    <mergeCell ref="A26:N26"/>
    <mergeCell ref="A27:N27"/>
    <mergeCell ref="A28:N28"/>
    <mergeCell ref="A29:N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4" min="3" style="0" width="18"/>
  </cols>
  <sheetData>
    <row r="1" customFormat="false" ht="15" hidden="false" customHeight="false" outlineLevel="0" collapsed="false">
      <c r="A1" s="5" t="s">
        <v>43</v>
      </c>
      <c r="B1" s="5" t="s">
        <v>44</v>
      </c>
      <c r="C1" s="5" t="s">
        <v>45</v>
      </c>
      <c r="D1" s="5" t="s">
        <v>46</v>
      </c>
    </row>
    <row r="2" customFormat="false" ht="15" hidden="false" customHeight="false" outlineLevel="0" collapsed="false">
      <c r="A2" s="7" t="n">
        <v>1</v>
      </c>
      <c r="B2" s="7" t="s">
        <v>47</v>
      </c>
      <c r="C2" s="11" t="n">
        <v>0.62</v>
      </c>
      <c r="D2" s="11" t="n">
        <v>0.205</v>
      </c>
    </row>
    <row r="3" customFormat="false" ht="15" hidden="false" customHeight="false" outlineLevel="0" collapsed="false">
      <c r="A3" s="7" t="n">
        <v>2</v>
      </c>
      <c r="B3" s="7" t="s">
        <v>48</v>
      </c>
      <c r="C3" s="11" t="n">
        <v>0.19</v>
      </c>
      <c r="D3" s="11" t="n">
        <v>0.01</v>
      </c>
    </row>
    <row r="4" customFormat="false" ht="15" hidden="false" customHeight="false" outlineLevel="0" collapsed="false">
      <c r="A4" s="7" t="n">
        <v>3</v>
      </c>
      <c r="B4" s="7" t="s">
        <v>49</v>
      </c>
      <c r="C4" s="11" t="n">
        <v>0.011</v>
      </c>
      <c r="D4" s="11" t="n">
        <v>0.38</v>
      </c>
    </row>
    <row r="5" customFormat="false" ht="15" hidden="false" customHeight="false" outlineLevel="0" collapsed="false">
      <c r="A5" s="7" t="n">
        <v>4</v>
      </c>
      <c r="B5" s="7" t="s">
        <v>50</v>
      </c>
      <c r="C5" s="11" t="n">
        <v>0.035</v>
      </c>
      <c r="D5" s="11" t="n">
        <v>0.005</v>
      </c>
    </row>
    <row r="6" customFormat="false" ht="15" hidden="false" customHeight="false" outlineLevel="0" collapsed="false">
      <c r="A6" s="7" t="n">
        <v>5</v>
      </c>
      <c r="B6" s="7" t="s">
        <v>51</v>
      </c>
      <c r="C6" s="11" t="n">
        <v>0.001</v>
      </c>
      <c r="D6" s="11" t="n">
        <v>0.06</v>
      </c>
    </row>
    <row r="7" customFormat="false" ht="15" hidden="false" customHeight="false" outlineLevel="0" collapsed="false">
      <c r="A7" s="7" t="n">
        <v>6</v>
      </c>
      <c r="B7" s="7" t="s">
        <v>52</v>
      </c>
      <c r="C7" s="11" t="n">
        <v>0.007</v>
      </c>
      <c r="D7" s="11" t="n">
        <v>0.005</v>
      </c>
    </row>
    <row r="8" customFormat="false" ht="15" hidden="false" customHeight="false" outlineLevel="0" collapsed="false">
      <c r="A8" s="7" t="n">
        <v>7</v>
      </c>
      <c r="B8" s="7" t="s">
        <v>53</v>
      </c>
      <c r="C8" s="11" t="n">
        <v>0.002</v>
      </c>
      <c r="D8" s="11" t="n">
        <v>0.004</v>
      </c>
    </row>
    <row r="9" customFormat="false" ht="15" hidden="false" customHeight="false" outlineLevel="0" collapsed="false">
      <c r="A9" s="7" t="n">
        <v>8</v>
      </c>
      <c r="B9" s="7" t="s">
        <v>54</v>
      </c>
      <c r="C9" s="11" t="n">
        <v>0.005</v>
      </c>
      <c r="D9" s="11" t="n">
        <v>0.003</v>
      </c>
    </row>
    <row r="10" customFormat="false" ht="15" hidden="false" customHeight="false" outlineLevel="0" collapsed="false">
      <c r="A10" s="7" t="n">
        <v>9</v>
      </c>
      <c r="B10" s="7" t="s">
        <v>55</v>
      </c>
      <c r="C10" s="11" t="n">
        <v>0.002</v>
      </c>
      <c r="D10" s="11" t="n">
        <v>0.002</v>
      </c>
    </row>
    <row r="11" customFormat="false" ht="15" hidden="false" customHeight="false" outlineLevel="0" collapsed="false">
      <c r="A11" s="7" t="n">
        <v>10</v>
      </c>
      <c r="B11" s="7" t="s">
        <v>56</v>
      </c>
      <c r="C11" s="11" t="n">
        <v>0.006</v>
      </c>
      <c r="D11" s="11" t="n">
        <v>0.005</v>
      </c>
    </row>
    <row r="12" customFormat="false" ht="15" hidden="false" customHeight="false" outlineLevel="0" collapsed="false">
      <c r="A12" s="7" t="n">
        <v>11</v>
      </c>
      <c r="B12" s="7" t="s">
        <v>57</v>
      </c>
      <c r="C12" s="11" t="n">
        <v>0.002</v>
      </c>
      <c r="D12" s="11" t="n">
        <v>0.004</v>
      </c>
    </row>
    <row r="13" customFormat="false" ht="15" hidden="false" customHeight="false" outlineLevel="0" collapsed="false">
      <c r="A13" s="7" t="n">
        <v>12</v>
      </c>
      <c r="B13" s="7" t="s">
        <v>58</v>
      </c>
      <c r="C13" s="11" t="n">
        <v>0.003</v>
      </c>
      <c r="D13" s="11" t="n">
        <v>0.01</v>
      </c>
    </row>
    <row r="14" customFormat="false" ht="15" hidden="false" customHeight="false" outlineLevel="0" collapsed="false">
      <c r="A14" s="7" t="n">
        <v>13</v>
      </c>
      <c r="B14" s="7" t="s">
        <v>59</v>
      </c>
      <c r="C14" s="11" t="n">
        <v>0.001</v>
      </c>
      <c r="D14" s="11" t="n">
        <v>0.007</v>
      </c>
    </row>
    <row r="15" customFormat="false" ht="15" hidden="false" customHeight="false" outlineLevel="0" collapsed="false">
      <c r="A15" s="7" t="n">
        <v>14</v>
      </c>
      <c r="B15" s="7" t="s">
        <v>60</v>
      </c>
      <c r="C15" s="11" t="n">
        <v>0</v>
      </c>
      <c r="D15" s="11" t="n">
        <v>0.001</v>
      </c>
    </row>
    <row r="16" customFormat="false" ht="15" hidden="false" customHeight="false" outlineLevel="0" collapsed="false">
      <c r="A16" s="7" t="n">
        <v>15</v>
      </c>
      <c r="B16" s="7" t="s">
        <v>61</v>
      </c>
      <c r="C16" s="11" t="n">
        <v>0</v>
      </c>
      <c r="D16" s="11" t="n">
        <v>0.001</v>
      </c>
    </row>
    <row r="17" customFormat="false" ht="15" hidden="false" customHeight="false" outlineLevel="0" collapsed="false">
      <c r="A17" s="7" t="n">
        <v>16</v>
      </c>
      <c r="B17" s="7" t="s">
        <v>62</v>
      </c>
      <c r="C17" s="11" t="n">
        <v>0</v>
      </c>
      <c r="D17" s="11" t="n">
        <v>0.001</v>
      </c>
    </row>
    <row r="18" customFormat="false" ht="15" hidden="false" customHeight="false" outlineLevel="0" collapsed="false">
      <c r="A18" s="7" t="n">
        <v>17</v>
      </c>
      <c r="B18" s="7" t="s">
        <v>63</v>
      </c>
      <c r="C18" s="11" t="n">
        <v>0</v>
      </c>
      <c r="D18" s="11" t="n">
        <v>0.001</v>
      </c>
    </row>
    <row r="19" customFormat="false" ht="15" hidden="false" customHeight="false" outlineLevel="0" collapsed="false">
      <c r="A19" s="2" t="s">
        <v>33</v>
      </c>
      <c r="B19" s="2" t="s">
        <v>64</v>
      </c>
      <c r="C19" s="12" t="n">
        <f aca="false">1-SUM(C2:C18)</f>
        <v>0.115</v>
      </c>
      <c r="D19" s="12" t="n">
        <f aca="false">1-SUM(D2:D18)</f>
        <v>0.296</v>
      </c>
    </row>
    <row r="20" customFormat="false" ht="15" hidden="false" customHeight="false" outlineLevel="0" collapsed="false">
      <c r="A20" s="13"/>
      <c r="B20" s="14" t="s">
        <v>65</v>
      </c>
      <c r="C20" s="15" t="n">
        <f aca="false">SUM(C2:C19)</f>
        <v>1</v>
      </c>
      <c r="D20" s="15" t="n">
        <f aca="false">SUM(D2:D19)</f>
        <v>1</v>
      </c>
    </row>
    <row r="22" customFormat="false" ht="94.5" hidden="false" customHeight="true" outlineLevel="0" collapsed="false">
      <c r="A22" s="10" t="s">
        <v>66</v>
      </c>
      <c r="B22" s="10"/>
      <c r="C22" s="10"/>
      <c r="D22" s="10"/>
    </row>
  </sheetData>
  <mergeCells count="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4" min="3" style="0" width="16"/>
  </cols>
  <sheetData>
    <row r="1" customFormat="false" ht="15" hidden="false" customHeight="false" outlineLevel="0" collapsed="false">
      <c r="A1" s="5" t="s">
        <v>67</v>
      </c>
      <c r="B1" s="5" t="s">
        <v>68</v>
      </c>
      <c r="C1" s="5" t="s">
        <v>69</v>
      </c>
      <c r="D1" s="5" t="s">
        <v>70</v>
      </c>
    </row>
    <row r="2" customFormat="false" ht="15" hidden="false" customHeight="false" outlineLevel="0" collapsed="false">
      <c r="A2" s="7" t="n">
        <v>1</v>
      </c>
      <c r="B2" s="7" t="s">
        <v>71</v>
      </c>
      <c r="C2" s="11" t="n">
        <v>0.135</v>
      </c>
      <c r="D2" s="11" t="n">
        <v>0.14</v>
      </c>
    </row>
    <row r="3" customFormat="false" ht="15" hidden="false" customHeight="false" outlineLevel="0" collapsed="false">
      <c r="A3" s="7" t="n">
        <v>2</v>
      </c>
      <c r="B3" s="7" t="s">
        <v>72</v>
      </c>
      <c r="C3" s="11" t="n">
        <v>0.115</v>
      </c>
      <c r="D3" s="11" t="n">
        <v>0.055</v>
      </c>
    </row>
    <row r="4" customFormat="false" ht="15" hidden="false" customHeight="false" outlineLevel="0" collapsed="false">
      <c r="A4" s="7" t="n">
        <v>3</v>
      </c>
      <c r="B4" s="7" t="s">
        <v>73</v>
      </c>
      <c r="C4" s="11" t="n">
        <v>0.125</v>
      </c>
      <c r="D4" s="11" t="n">
        <v>0.08</v>
      </c>
    </row>
    <row r="5" customFormat="false" ht="15" hidden="false" customHeight="false" outlineLevel="0" collapsed="false">
      <c r="A5" s="7" t="n">
        <v>4</v>
      </c>
      <c r="B5" s="7" t="s">
        <v>74</v>
      </c>
      <c r="C5" s="11" t="n">
        <v>0.095</v>
      </c>
      <c r="D5" s="11" t="n">
        <v>0.035</v>
      </c>
    </row>
    <row r="6" customFormat="false" ht="15" hidden="false" customHeight="false" outlineLevel="0" collapsed="false">
      <c r="A6" s="7" t="n">
        <v>5</v>
      </c>
      <c r="B6" s="7" t="s">
        <v>75</v>
      </c>
      <c r="C6" s="11" t="n">
        <v>0.09</v>
      </c>
      <c r="D6" s="11" t="n">
        <v>0.17</v>
      </c>
    </row>
    <row r="7" customFormat="false" ht="15" hidden="false" customHeight="false" outlineLevel="0" collapsed="false">
      <c r="A7" s="7" t="n">
        <v>6</v>
      </c>
      <c r="B7" s="7" t="s">
        <v>76</v>
      </c>
      <c r="C7" s="11" t="n">
        <v>0.055</v>
      </c>
      <c r="D7" s="11" t="n">
        <v>0.045</v>
      </c>
    </row>
    <row r="8" customFormat="false" ht="15" hidden="false" customHeight="false" outlineLevel="0" collapsed="false">
      <c r="A8" s="7" t="n">
        <v>7</v>
      </c>
      <c r="B8" s="7" t="s">
        <v>77</v>
      </c>
      <c r="C8" s="11" t="n">
        <v>0.07</v>
      </c>
      <c r="D8" s="11" t="n">
        <v>0.19</v>
      </c>
    </row>
    <row r="9" customFormat="false" ht="15" hidden="false" customHeight="false" outlineLevel="0" collapsed="false">
      <c r="A9" s="7" t="n">
        <v>8</v>
      </c>
      <c r="B9" s="7" t="s">
        <v>78</v>
      </c>
      <c r="C9" s="11" t="n">
        <v>0.065</v>
      </c>
      <c r="D9" s="11" t="n">
        <v>0.14</v>
      </c>
    </row>
    <row r="10" customFormat="false" ht="15" hidden="false" customHeight="false" outlineLevel="0" collapsed="false">
      <c r="A10" s="7" t="n">
        <v>9</v>
      </c>
      <c r="B10" s="7" t="s">
        <v>79</v>
      </c>
      <c r="C10" s="11" t="n">
        <v>0.085</v>
      </c>
      <c r="D10" s="11" t="n">
        <v>0.02</v>
      </c>
    </row>
    <row r="11" customFormat="false" ht="15" hidden="false" customHeight="false" outlineLevel="0" collapsed="false">
      <c r="A11" s="7" t="n">
        <v>10</v>
      </c>
      <c r="B11" s="7" t="s">
        <v>80</v>
      </c>
      <c r="C11" s="11" t="n">
        <v>0.06</v>
      </c>
      <c r="D11" s="11" t="n">
        <v>0.09</v>
      </c>
    </row>
    <row r="12" customFormat="false" ht="15" hidden="false" customHeight="false" outlineLevel="0" collapsed="false">
      <c r="A12" s="7" t="n">
        <v>11</v>
      </c>
      <c r="B12" s="7" t="s">
        <v>81</v>
      </c>
      <c r="C12" s="11" t="n">
        <v>0.055</v>
      </c>
      <c r="D12" s="11" t="n">
        <v>0.015</v>
      </c>
    </row>
    <row r="13" customFormat="false" ht="15" hidden="false" customHeight="false" outlineLevel="0" collapsed="false">
      <c r="A13" s="7" t="n">
        <v>12</v>
      </c>
      <c r="B13" s="7" t="s">
        <v>82</v>
      </c>
      <c r="C13" s="11" t="n">
        <v>0.035</v>
      </c>
      <c r="D13" s="11" t="n">
        <v>0.015</v>
      </c>
    </row>
    <row r="14" customFormat="false" ht="15" hidden="false" customHeight="false" outlineLevel="0" collapsed="false">
      <c r="A14" s="13"/>
      <c r="B14" s="14" t="s">
        <v>65</v>
      </c>
      <c r="C14" s="15" t="n">
        <f aca="false">SUM(C2:C13)</f>
        <v>0.985</v>
      </c>
      <c r="D14" s="15" t="n">
        <f aca="false">SUM(D2:D13)</f>
        <v>0.995</v>
      </c>
    </row>
    <row r="16" customFormat="false" ht="60" hidden="false" customHeight="true" outlineLevel="0" collapsed="false">
      <c r="A16" s="10" t="s">
        <v>83</v>
      </c>
      <c r="B16" s="10"/>
      <c r="C16" s="10"/>
      <c r="D16" s="10"/>
    </row>
  </sheetData>
  <mergeCells count="1">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2026-10-22T18:35:49Z</dcterms:created>
  <dc:creator>openpyxl</dc:creator>
  <dc:description/>
  <dc:language>en-US</dc:language>
  <cp:lastModifiedBy/>
  <dcterms:modified xsi:type="dcterms:W3CDTF">2026-10-22T18:35:49Z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